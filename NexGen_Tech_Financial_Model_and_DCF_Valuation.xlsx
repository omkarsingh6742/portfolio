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62d628e8a33ccc6/Documents/Projects/"/>
    </mc:Choice>
  </mc:AlternateContent>
  <xr:revisionPtr revIDLastSave="0" documentId="8_{621E777F-59DC-400F-96CE-C1E46ED5364A}" xr6:coauthVersionLast="47" xr6:coauthVersionMax="47" xr10:uidLastSave="{00000000-0000-0000-0000-000000000000}"/>
  <bookViews>
    <workbookView xWindow="-108" yWindow="-108" windowWidth="23256" windowHeight="12456" activeTab="4" xr2:uid="{A35E1EFC-E7D2-4244-B9C6-69BD6C11D796}"/>
  </bookViews>
  <sheets>
    <sheet name="Assumptions" sheetId="1" r:id="rId1"/>
    <sheet name="Income statement " sheetId="2" r:id="rId2"/>
    <sheet name="Balance sheet " sheetId="3" r:id="rId3"/>
    <sheet name="Cashflow" sheetId="4" r:id="rId4"/>
    <sheet name="DCF valuation 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6" i="5" l="1"/>
  <c r="B27" i="5"/>
  <c r="D17" i="5"/>
  <c r="C17" i="5"/>
  <c r="B17" i="5"/>
  <c r="D20" i="4"/>
  <c r="C20" i="4"/>
  <c r="D16" i="4"/>
  <c r="C16" i="4"/>
  <c r="B23" i="4"/>
  <c r="B20" i="4"/>
  <c r="B16" i="4"/>
  <c r="D30" i="3"/>
  <c r="D25" i="3"/>
  <c r="E25" i="3" s="1"/>
  <c r="E26" i="3" s="1"/>
  <c r="C13" i="3"/>
  <c r="D13" i="3" s="1"/>
  <c r="E13" i="3" s="1"/>
  <c r="C30" i="3"/>
  <c r="C26" i="3"/>
  <c r="B26" i="3"/>
  <c r="C25" i="3"/>
  <c r="B32" i="3"/>
  <c r="B22" i="3"/>
  <c r="B27" i="3" s="1"/>
  <c r="B33" i="3" s="1"/>
  <c r="B15" i="3"/>
  <c r="B16" i="3" s="1"/>
  <c r="B10" i="3"/>
  <c r="B17" i="3" s="1"/>
  <c r="E16" i="1"/>
  <c r="E17" i="1"/>
  <c r="E15" i="1"/>
  <c r="E14" i="1"/>
  <c r="B15" i="2"/>
  <c r="B9" i="2"/>
  <c r="E8" i="1"/>
  <c r="E9" i="1"/>
  <c r="E10" i="1"/>
  <c r="E11" i="1"/>
  <c r="E12" i="1"/>
  <c r="E14" i="2" s="1"/>
  <c r="E13" i="1"/>
  <c r="E7" i="1"/>
  <c r="C7" i="2" s="1"/>
  <c r="C9" i="3" s="1"/>
  <c r="B10" i="4" l="1"/>
  <c r="D26" i="3"/>
  <c r="E19" i="2"/>
  <c r="E30" i="3"/>
  <c r="E17" i="2"/>
  <c r="C14" i="2"/>
  <c r="C11" i="2"/>
  <c r="C13" i="2"/>
  <c r="D7" i="2"/>
  <c r="D9" i="3" s="1"/>
  <c r="C8" i="2"/>
  <c r="C12" i="2"/>
  <c r="C17" i="2"/>
  <c r="B11" i="5" s="1"/>
  <c r="C19" i="2"/>
  <c r="D17" i="2"/>
  <c r="D19" i="2"/>
  <c r="D14" i="2"/>
  <c r="B16" i="2"/>
  <c r="B18" i="2" s="1"/>
  <c r="B20" i="2" s="1"/>
  <c r="B21" i="2" s="1"/>
  <c r="B22" i="2" s="1"/>
  <c r="D9" i="4" l="1"/>
  <c r="D11" i="5"/>
  <c r="C9" i="4"/>
  <c r="C11" i="5"/>
  <c r="C14" i="3"/>
  <c r="C15" i="3" s="1"/>
  <c r="C16" i="3" s="1"/>
  <c r="B9" i="4"/>
  <c r="C10" i="4"/>
  <c r="C9" i="2"/>
  <c r="C21" i="3"/>
  <c r="D13" i="2"/>
  <c r="D11" i="2"/>
  <c r="D12" i="2"/>
  <c r="D8" i="2"/>
  <c r="E7" i="2"/>
  <c r="E9" i="3" s="1"/>
  <c r="D10" i="4" s="1"/>
  <c r="C15" i="2"/>
  <c r="D14" i="3" l="1"/>
  <c r="E14" i="3" s="1"/>
  <c r="E15" i="3" s="1"/>
  <c r="E16" i="3" s="1"/>
  <c r="C22" i="3"/>
  <c r="C27" i="3" s="1"/>
  <c r="B11" i="4"/>
  <c r="B12" i="5" s="1"/>
  <c r="C16" i="2"/>
  <c r="C18" i="2" s="1"/>
  <c r="E8" i="2"/>
  <c r="D9" i="2"/>
  <c r="D21" i="3"/>
  <c r="D15" i="3"/>
  <c r="D16" i="3" s="1"/>
  <c r="D15" i="2"/>
  <c r="E13" i="2"/>
  <c r="E12" i="2"/>
  <c r="E11" i="2"/>
  <c r="C20" i="2" l="1"/>
  <c r="C21" i="2" s="1"/>
  <c r="C22" i="2" s="1"/>
  <c r="B8" i="5"/>
  <c r="D22" i="3"/>
  <c r="D27" i="3" s="1"/>
  <c r="C11" i="4"/>
  <c r="C12" i="5" s="1"/>
  <c r="C31" i="3"/>
  <c r="C32" i="3" s="1"/>
  <c r="C33" i="3" s="1"/>
  <c r="C8" i="3" s="1"/>
  <c r="B8" i="4"/>
  <c r="B12" i="4" s="1"/>
  <c r="B22" i="4" s="1"/>
  <c r="B24" i="4" s="1"/>
  <c r="D16" i="2"/>
  <c r="D18" i="2" s="1"/>
  <c r="E9" i="2"/>
  <c r="E21" i="3"/>
  <c r="E15" i="2"/>
  <c r="E16" i="2" s="1"/>
  <c r="E18" i="2" s="1"/>
  <c r="E20" i="2" l="1"/>
  <c r="E21" i="2" s="1"/>
  <c r="E22" i="2" s="1"/>
  <c r="D8" i="4" s="1"/>
  <c r="D8" i="5"/>
  <c r="D20" i="2"/>
  <c r="D21" i="2" s="1"/>
  <c r="D22" i="2" s="1"/>
  <c r="C8" i="5"/>
  <c r="C9" i="5" s="1"/>
  <c r="C10" i="5" s="1"/>
  <c r="C14" i="5" s="1"/>
  <c r="C18" i="5" s="1"/>
  <c r="B9" i="5"/>
  <c r="B10" i="5" s="1"/>
  <c r="B14" i="5" s="1"/>
  <c r="B18" i="5" s="1"/>
  <c r="E22" i="3"/>
  <c r="E27" i="3" s="1"/>
  <c r="D11" i="4"/>
  <c r="D12" i="5" s="1"/>
  <c r="D31" i="3"/>
  <c r="D32" i="3" s="1"/>
  <c r="D33" i="3" s="1"/>
  <c r="D8" i="3" s="1"/>
  <c r="C8" i="4"/>
  <c r="C12" i="4" s="1"/>
  <c r="C22" i="4" s="1"/>
  <c r="C10" i="3"/>
  <c r="C17" i="3" s="1"/>
  <c r="C23" i="4"/>
  <c r="D12" i="4" l="1"/>
  <c r="D22" i="4" s="1"/>
  <c r="E31" i="3"/>
  <c r="E32" i="3" s="1"/>
  <c r="E33" i="3" s="1"/>
  <c r="E8" i="3" s="1"/>
  <c r="E10" i="3" s="1"/>
  <c r="E17" i="3" s="1"/>
  <c r="D9" i="5"/>
  <c r="D10" i="5" s="1"/>
  <c r="D14" i="5" s="1"/>
  <c r="D10" i="3"/>
  <c r="D17" i="3" s="1"/>
  <c r="D23" i="4"/>
  <c r="D24" i="4" s="1"/>
  <c r="C24" i="4"/>
  <c r="B22" i="5" l="1"/>
  <c r="B23" i="5" s="1"/>
  <c r="D18" i="5"/>
  <c r="B21" i="5" s="1"/>
  <c r="B25" i="5" l="1"/>
  <c r="B31" i="5" s="1"/>
  <c r="B28" i="5" l="1"/>
</calcChain>
</file>

<file path=xl/sharedStrings.xml><?xml version="1.0" encoding="utf-8"?>
<sst xmlns="http://schemas.openxmlformats.org/spreadsheetml/2006/main" count="123" uniqueCount="105">
  <si>
    <t>NEXGEN TECH PVT LTD — MODEL ASSUMPTIONS &amp; DRIVERS</t>
  </si>
  <si>
    <t>Active Scenario Switch (1=Base, 2=Bull, 3=Bear):</t>
  </si>
  <si>
    <t>DRIVER CATEGORY</t>
  </si>
  <si>
    <t>Base</t>
  </si>
  <si>
    <t>Bull</t>
  </si>
  <si>
    <t>Bear</t>
  </si>
  <si>
    <t>Active Value</t>
  </si>
  <si>
    <t>Annual Revenue Growth Rate</t>
  </si>
  <si>
    <t>COGS (% of Revenue)</t>
  </si>
  <si>
    <t>Marketing Expense (% of Revenue)</t>
  </si>
  <si>
    <t>Tech &amp; Ops Expense (% of Revenue)</t>
  </si>
  <si>
    <t>Sales Expense (% of Revenue)</t>
  </si>
  <si>
    <t>HR &amp; Admin (Fixed Annual Cost)</t>
  </si>
  <si>
    <t>Income Tax Rate</t>
  </si>
  <si>
    <t>Depreciation Rate (% of PP&amp;E)</t>
  </si>
  <si>
    <t>NEXGEN TECH PVT LTD — PRO FORMA INCOME STATEMENT</t>
  </si>
  <si>
    <t>2026 (Base)</t>
  </si>
  <si>
    <t>2027 (Fcst)</t>
  </si>
  <si>
    <t>2028 (Fcst)</t>
  </si>
  <si>
    <t>2029 (Fcst)</t>
  </si>
  <si>
    <t>Gross Revenue</t>
  </si>
  <si>
    <t>Cost of Goods Sold (COGS)</t>
  </si>
  <si>
    <t>Gross Profit</t>
  </si>
  <si>
    <t>OPERATING EXPENSES:</t>
  </si>
  <si>
    <t>Marketing Expense</t>
  </si>
  <si>
    <t>Tech &amp; Ops Expense</t>
  </si>
  <si>
    <t>Sales Expense</t>
  </si>
  <si>
    <t>HR &amp; Admin Expense (Fixed)</t>
  </si>
  <si>
    <t>Total Operating Expenses</t>
  </si>
  <si>
    <t>EBITDA</t>
  </si>
  <si>
    <t>Less: Depreciation</t>
  </si>
  <si>
    <t>EBIT (Operating Profit)</t>
  </si>
  <si>
    <t>Less: Interest Expense</t>
  </si>
  <si>
    <t>EBT (Pre-Tax Profit)</t>
  </si>
  <si>
    <t>Less: Income Tax</t>
  </si>
  <si>
    <t>NET INCOME (Profit After Tax)</t>
  </si>
  <si>
    <t>FINANCIAL  LINE  ITEM</t>
  </si>
  <si>
    <t>Starting Property, Plant &amp; Equipment (PP&amp;E)</t>
  </si>
  <si>
    <t>Starting Long-Term Debt</t>
  </si>
  <si>
    <t>Interest Rate on Debt</t>
  </si>
  <si>
    <t>NEXGEN TECH PVT LTD — PRO FORMA BALANCE SHEET</t>
  </si>
  <si>
    <t>BALANCE SHEET LINE ITEM</t>
  </si>
  <si>
    <t>ASSETS</t>
  </si>
  <si>
    <t>Current Assets:</t>
  </si>
  <si>
    <t>Cash &amp; Cash Equivalents</t>
  </si>
  <si>
    <t>Accounts Receivable (AR)</t>
  </si>
  <si>
    <t>TOTAL CURRENT ASSETS</t>
  </si>
  <si>
    <t>Non-Current Assets:</t>
  </si>
  <si>
    <t>Property, Plant &amp; Equipment (PP&amp;E)</t>
  </si>
  <si>
    <t>Less: Accumulated Depreciation</t>
  </si>
  <si>
    <t>NET PP&amp;E</t>
  </si>
  <si>
    <t>TOTAL ASSETS</t>
  </si>
  <si>
    <t>LIABILITIES &amp; EQUITY</t>
  </si>
  <si>
    <t>Current Liabilities:</t>
  </si>
  <si>
    <t>Accounts Payable (AP)</t>
  </si>
  <si>
    <t>TOTAL CURRENT LIABILITIES</t>
  </si>
  <si>
    <t>Non-Current Liabilities:</t>
  </si>
  <si>
    <t>Long-Term Debt</t>
  </si>
  <si>
    <t>TOTAL LIABILITIES</t>
  </si>
  <si>
    <t>Shareholders' Equity:</t>
  </si>
  <si>
    <t>Common Stock / Share Capital</t>
  </si>
  <si>
    <t>Retained Earnings</t>
  </si>
  <si>
    <t>TOTAL SHAREHOLDERS' EQUITY</t>
  </si>
  <si>
    <t>TOTAL LIABILITIES &amp; EQUITY</t>
  </si>
  <si>
    <t xml:space="preserve">	TOTAL NON-CURRENT ASSETS</t>
  </si>
  <si>
    <t>AMOUNT(Rs.)</t>
  </si>
  <si>
    <t>TOTAL NON-CURRENT LIABILITIES</t>
  </si>
  <si>
    <t>NEXGEN TECH PVT LTD — PRO FORMA CASH FLOW STATEMENT</t>
  </si>
  <si>
    <t>CASH FLOW LINE ITEM</t>
  </si>
  <si>
    <t>CASH FLOW FROM OPERATING ACTIVITIES (CFO):</t>
  </si>
  <si>
    <t>Net Income (Profit After Tax)</t>
  </si>
  <si>
    <t>(+) Depreciation Add-Back</t>
  </si>
  <si>
    <t>(-) Increase in Accounts Receivable (AR)</t>
  </si>
  <si>
    <t>(+) Increase in Accounts Payable (AP)</t>
  </si>
  <si>
    <t>NET CASH FROM OPERATING ACTIVITIES (CFO)</t>
  </si>
  <si>
    <t>CASH FLOW FROM INVESTING ACTIVITIES (CFI):</t>
  </si>
  <si>
    <t>Capital Expenditures (CapEx)</t>
  </si>
  <si>
    <t>NET CASH FROM INVESTING ACTIVITIES (CFI)</t>
  </si>
  <si>
    <t>CASH FLOW FROM FINANCING ACTIVITIES (CFF):</t>
  </si>
  <si>
    <t>Debt Issued / (Repaid)</t>
  </si>
  <si>
    <t>NET CASH FROM FINANCING ACTIVITIES (CFF)</t>
  </si>
  <si>
    <t>NET CHANGE IN CASH</t>
  </si>
  <si>
    <t>Beginning Cash Balance</t>
  </si>
  <si>
    <t>ENDING CASH BALANCE</t>
  </si>
  <si>
    <t>NEXGEN TECH PVT LTD — DISCOUNTED CASH FLOW (DCF) VALUATION</t>
  </si>
  <si>
    <t>Weighted Average Cost of Capital (WACC)</t>
  </si>
  <si>
    <t>Perpetual Terminal Growth Rate (g)</t>
  </si>
  <si>
    <t>FCFF LINE ITEM</t>
  </si>
  <si>
    <t>Less: Taxes on EBIT</t>
  </si>
  <si>
    <t>NOPAT (Net Operating Profit After Tax)</t>
  </si>
  <si>
    <t>(-) Change in Net Working Capital (ΔΔNWC)</t>
  </si>
  <si>
    <t>(-) CapEx</t>
  </si>
  <si>
    <t>UNLEVERED FREE CASH FLOW (FCFF)</t>
  </si>
  <si>
    <t>Discount Period (tt)</t>
  </si>
  <si>
    <t>Discount Factor</t>
  </si>
  <si>
    <t>PV of Discrete FCFF</t>
  </si>
  <si>
    <t>VALUATION SUMMARY:</t>
  </si>
  <si>
    <t>Cumulative PV of 3-Yr Cash Flows</t>
  </si>
  <si>
    <t>Terminal Value (Gordon Growth)</t>
  </si>
  <si>
    <t>PV of Terminal Value</t>
  </si>
  <si>
    <t>IMPLIED ENTERPRISE VALUE (EV)</t>
  </si>
  <si>
    <t>(+) Cash &amp; Cash Equivalents</t>
  </si>
  <si>
    <t>(-) Total Debt</t>
  </si>
  <si>
    <t>IMPLIED EQUITY VALUE</t>
  </si>
  <si>
    <t>2-WAY ENTERPRISE VALUE SENSITIVITY MATRIX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</si>
</sst>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5" formatCode="&quot;₹&quot;\ #,##0;&quot;₹&quot;\ \-#,##0"/>
    <numFmt numFmtId="44" formatCode="_ &quot;₹&quot;\ * #,##0.00_ ;_ &quot;₹&quot;\ * \-#,##0.00_ ;_ &quot;₹&quot;\ * &quot;-&quot;??_ ;_ 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Consolas"/>
      <family val="3"/>
    </font>
    <font>
      <sz val="12"/>
      <color theme="1"/>
      <name val="Aptos Narrow"/>
      <family val="2"/>
      <scheme val="minor"/>
    </font>
    <font>
      <b/>
      <sz val="12"/>
      <color rgb="FF101010"/>
      <name val="Arial"/>
      <family val="2"/>
    </font>
    <font>
      <b/>
      <sz val="12"/>
      <color theme="1"/>
      <name val="Segoe UI"/>
      <family val="2"/>
    </font>
    <font>
      <b/>
      <sz val="14"/>
      <color theme="1"/>
      <name val="Consolas"/>
      <family val="3"/>
    </font>
    <font>
      <b/>
      <sz val="12"/>
      <color theme="1"/>
      <name val="Aptos Narrow"/>
      <family val="2"/>
      <scheme val="minor"/>
    </font>
    <font>
      <sz val="14"/>
      <color theme="1"/>
      <name val="Aptos Display"/>
      <family val="2"/>
      <scheme val="major"/>
    </font>
    <font>
      <sz val="12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name val="Aptos Display"/>
      <family val="2"/>
      <scheme val="major"/>
    </font>
    <font>
      <b/>
      <sz val="14"/>
      <color theme="1"/>
      <name val="Aptos Display"/>
      <family val="2"/>
      <scheme val="major"/>
    </font>
    <font>
      <b/>
      <sz val="16"/>
      <color theme="1"/>
      <name val="Aptos Display"/>
      <family val="2"/>
      <scheme val="major"/>
    </font>
    <font>
      <b/>
      <sz val="16"/>
      <color rgb="FF0070C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rgb="FF101010"/>
      <name val="Aptos Narrow"/>
      <family val="2"/>
      <scheme val="minor"/>
    </font>
    <font>
      <b/>
      <sz val="11"/>
      <color rgb="FF101010"/>
      <name val="Aptos Narrow"/>
      <family val="2"/>
      <scheme val="minor"/>
    </font>
    <font>
      <sz val="12"/>
      <color rgb="FF004F8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5">
    <xf numFmtId="0" fontId="0" fillId="0" borderId="0" xfId="0"/>
    <xf numFmtId="0" fontId="3" fillId="0" borderId="0" xfId="0" applyFont="1"/>
    <xf numFmtId="9" fontId="9" fillId="0" borderId="0" xfId="2" applyFont="1" applyAlignment="1"/>
    <xf numFmtId="0" fontId="5" fillId="4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center" wrapText="1"/>
    </xf>
    <xf numFmtId="9" fontId="10" fillId="3" borderId="1" xfId="0" applyNumberFormat="1" applyFont="1" applyFill="1" applyBorder="1" applyAlignment="1">
      <alignment horizontal="center" vertical="center" wrapText="1"/>
    </xf>
    <xf numFmtId="9" fontId="10" fillId="0" borderId="1" xfId="2" applyFont="1" applyBorder="1" applyAlignment="1">
      <alignment horizontal="center"/>
    </xf>
    <xf numFmtId="5" fontId="10" fillId="3" borderId="1" xfId="1" applyNumberFormat="1" applyFont="1" applyFill="1" applyBorder="1" applyAlignment="1">
      <alignment horizontal="center" vertical="center" wrapText="1"/>
    </xf>
    <xf numFmtId="5" fontId="10" fillId="0" borderId="1" xfId="1" applyNumberFormat="1" applyFont="1" applyBorder="1" applyAlignment="1">
      <alignment horizontal="center" vertical="center"/>
    </xf>
    <xf numFmtId="0" fontId="10" fillId="0" borderId="1" xfId="0" applyFont="1" applyBorder="1"/>
    <xf numFmtId="5" fontId="10" fillId="0" borderId="1" xfId="1" applyNumberFormat="1" applyFont="1" applyBorder="1" applyAlignment="1">
      <alignment horizontal="center"/>
    </xf>
    <xf numFmtId="0" fontId="4" fillId="0" borderId="1" xfId="0" applyFont="1" applyBorder="1"/>
    <xf numFmtId="5" fontId="4" fillId="0" borderId="1" xfId="1" applyNumberFormat="1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9" fontId="4" fillId="0" borderId="1" xfId="2" applyFont="1" applyBorder="1" applyAlignment="1">
      <alignment horizontal="center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5" fontId="10" fillId="3" borderId="1" xfId="1" applyNumberFormat="1" applyFont="1" applyFill="1" applyBorder="1" applyAlignment="1">
      <alignment horizontal="center"/>
    </xf>
    <xf numFmtId="5" fontId="4" fillId="3" borderId="1" xfId="1" applyNumberFormat="1" applyFont="1" applyFill="1" applyBorder="1" applyAlignment="1">
      <alignment horizontal="center"/>
    </xf>
    <xf numFmtId="9" fontId="4" fillId="3" borderId="1" xfId="0" applyNumberFormat="1" applyFont="1" applyFill="1" applyBorder="1" applyAlignment="1">
      <alignment horizontal="center"/>
    </xf>
    <xf numFmtId="9" fontId="14" fillId="0" borderId="0" xfId="2" applyFont="1" applyAlignment="1">
      <alignment horizontal="center"/>
    </xf>
    <xf numFmtId="0" fontId="9" fillId="0" borderId="0" xfId="0" applyFont="1"/>
    <xf numFmtId="0" fontId="8" fillId="0" borderId="1" xfId="0" applyFont="1" applyBorder="1"/>
    <xf numFmtId="5" fontId="0" fillId="0" borderId="1" xfId="0" applyNumberFormat="1" applyBorder="1"/>
    <xf numFmtId="0" fontId="0" fillId="0" borderId="1" xfId="0" applyBorder="1"/>
    <xf numFmtId="5" fontId="2" fillId="0" borderId="1" xfId="0" applyNumberFormat="1" applyFont="1" applyBorder="1"/>
    <xf numFmtId="0" fontId="0" fillId="0" borderId="0" xfId="0" applyAlignment="1">
      <alignment vertical="center"/>
    </xf>
    <xf numFmtId="0" fontId="4" fillId="0" borderId="0" xfId="0" applyFont="1"/>
    <xf numFmtId="10" fontId="19" fillId="3" borderId="1" xfId="0" applyNumberFormat="1" applyFont="1" applyFill="1" applyBorder="1"/>
    <xf numFmtId="5" fontId="8" fillId="2" borderId="1" xfId="0" applyNumberFormat="1" applyFont="1" applyFill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10" fontId="8" fillId="0" borderId="1" xfId="0" applyNumberFormat="1" applyFont="1" applyBorder="1" applyAlignment="1">
      <alignment horizontal="center"/>
    </xf>
    <xf numFmtId="5" fontId="4" fillId="0" borderId="1" xfId="1" applyNumberFormat="1" applyFont="1" applyBorder="1"/>
    <xf numFmtId="5" fontId="8" fillId="0" borderId="1" xfId="1" applyNumberFormat="1" applyFont="1" applyBorder="1"/>
    <xf numFmtId="0" fontId="18" fillId="0" borderId="1" xfId="0" applyFont="1" applyBorder="1"/>
    <xf numFmtId="0" fontId="4" fillId="0" borderId="3" xfId="0" applyFont="1" applyBorder="1"/>
    <xf numFmtId="5" fontId="4" fillId="0" borderId="3" xfId="1" applyNumberFormat="1" applyFont="1" applyBorder="1"/>
    <xf numFmtId="0" fontId="8" fillId="0" borderId="3" xfId="0" applyFont="1" applyBorder="1"/>
    <xf numFmtId="5" fontId="8" fillId="0" borderId="3" xfId="1" applyNumberFormat="1" applyFont="1" applyBorder="1"/>
    <xf numFmtId="5" fontId="4" fillId="0" borderId="5" xfId="1" applyNumberFormat="1" applyFont="1" applyBorder="1"/>
    <xf numFmtId="5" fontId="4" fillId="0" borderId="6" xfId="1" applyNumberFormat="1" applyFont="1" applyBorder="1"/>
    <xf numFmtId="5" fontId="4" fillId="0" borderId="7" xfId="1" applyNumberFormat="1" applyFont="1" applyBorder="1"/>
    <xf numFmtId="5" fontId="10" fillId="0" borderId="6" xfId="1" applyNumberFormat="1" applyFont="1" applyBorder="1"/>
    <xf numFmtId="0" fontId="4" fillId="0" borderId="6" xfId="0" applyFont="1" applyBorder="1"/>
    <xf numFmtId="0" fontId="4" fillId="0" borderId="7" xfId="0" applyFont="1" applyBorder="1"/>
    <xf numFmtId="0" fontId="8" fillId="0" borderId="5" xfId="0" applyFont="1" applyBorder="1"/>
    <xf numFmtId="5" fontId="4" fillId="0" borderId="8" xfId="1" applyNumberFormat="1" applyFont="1" applyBorder="1"/>
    <xf numFmtId="0" fontId="8" fillId="2" borderId="9" xfId="0" applyFont="1" applyFill="1" applyBorder="1"/>
    <xf numFmtId="5" fontId="8" fillId="2" borderId="10" xfId="1" applyNumberFormat="1" applyFont="1" applyFill="1" applyBorder="1"/>
    <xf numFmtId="5" fontId="8" fillId="2" borderId="11" xfId="1" applyNumberFormat="1" applyFont="1" applyFill="1" applyBorder="1"/>
    <xf numFmtId="0" fontId="2" fillId="0" borderId="3" xfId="0" applyFont="1" applyBorder="1"/>
    <xf numFmtId="5" fontId="2" fillId="0" borderId="3" xfId="0" applyNumberFormat="1" applyFont="1" applyBorder="1"/>
    <xf numFmtId="5" fontId="0" fillId="0" borderId="0" xfId="0" applyNumberFormat="1"/>
    <xf numFmtId="5" fontId="0" fillId="0" borderId="6" xfId="0" applyNumberFormat="1" applyBorder="1"/>
    <xf numFmtId="5" fontId="0" fillId="0" borderId="6" xfId="1" applyNumberFormat="1" applyFont="1" applyBorder="1"/>
    <xf numFmtId="0" fontId="0" fillId="0" borderId="6" xfId="0" applyBorder="1"/>
    <xf numFmtId="0" fontId="0" fillId="0" borderId="4" xfId="0" applyBorder="1"/>
    <xf numFmtId="0" fontId="2" fillId="2" borderId="9" xfId="0" applyFont="1" applyFill="1" applyBorder="1"/>
    <xf numFmtId="5" fontId="2" fillId="2" borderId="10" xfId="0" applyNumberFormat="1" applyFont="1" applyFill="1" applyBorder="1"/>
    <xf numFmtId="5" fontId="2" fillId="2" borderId="11" xfId="0" applyNumberFormat="1" applyFont="1" applyFill="1" applyBorder="1"/>
    <xf numFmtId="5" fontId="0" fillId="0" borderId="3" xfId="0" applyNumberFormat="1" applyBorder="1"/>
    <xf numFmtId="5" fontId="0" fillId="0" borderId="8" xfId="1" applyNumberFormat="1" applyFont="1" applyBorder="1"/>
    <xf numFmtId="5" fontId="0" fillId="0" borderId="5" xfId="0" applyNumberFormat="1" applyBorder="1"/>
    <xf numFmtId="0" fontId="17" fillId="0" borderId="5" xfId="0" applyFont="1" applyBorder="1"/>
    <xf numFmtId="0" fontId="0" fillId="0" borderId="8" xfId="0" applyBorder="1"/>
    <xf numFmtId="0" fontId="0" fillId="0" borderId="3" xfId="0" applyBorder="1"/>
    <xf numFmtId="5" fontId="0" fillId="0" borderId="4" xfId="0" applyNumberFormat="1" applyBorder="1"/>
    <xf numFmtId="5" fontId="0" fillId="0" borderId="7" xfId="0" applyNumberFormat="1" applyBorder="1"/>
    <xf numFmtId="0" fontId="0" fillId="0" borderId="7" xfId="0" applyBorder="1"/>
    <xf numFmtId="0" fontId="18" fillId="0" borderId="3" xfId="0" applyFont="1" applyBorder="1"/>
    <xf numFmtId="0" fontId="17" fillId="0" borderId="6" xfId="0" applyFont="1" applyBorder="1"/>
    <xf numFmtId="5" fontId="0" fillId="0" borderId="8" xfId="0" applyNumberFormat="1" applyBorder="1"/>
    <xf numFmtId="0" fontId="18" fillId="2" borderId="9" xfId="0" applyFont="1" applyFill="1" applyBorder="1"/>
    <xf numFmtId="0" fontId="2" fillId="0" borderId="4" xfId="0" applyFont="1" applyBorder="1"/>
    <xf numFmtId="0" fontId="17" fillId="0" borderId="4" xfId="0" applyFont="1" applyBorder="1"/>
    <xf numFmtId="0" fontId="8" fillId="7" borderId="9" xfId="0" applyFont="1" applyFill="1" applyBorder="1"/>
    <xf numFmtId="0" fontId="8" fillId="7" borderId="11" xfId="0" applyFont="1" applyFill="1" applyBorder="1"/>
    <xf numFmtId="0" fontId="8" fillId="7" borderId="10" xfId="0" applyFont="1" applyFill="1" applyBorder="1"/>
    <xf numFmtId="0" fontId="4" fillId="0" borderId="4" xfId="0" applyFont="1" applyBorder="1"/>
    <xf numFmtId="5" fontId="4" fillId="0" borderId="4" xfId="1" applyNumberFormat="1" applyFont="1" applyBorder="1"/>
    <xf numFmtId="5" fontId="4" fillId="0" borderId="18" xfId="1" applyNumberFormat="1" applyFont="1" applyBorder="1"/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15" fillId="2" borderId="0" xfId="0" applyFont="1" applyFill="1" applyAlignment="1">
      <alignment horizontal="center"/>
    </xf>
    <xf numFmtId="0" fontId="13" fillId="4" borderId="14" xfId="0" applyFont="1" applyFill="1" applyBorder="1" applyAlignment="1">
      <alignment horizontal="center" vertical="center"/>
    </xf>
    <xf numFmtId="0" fontId="13" fillId="4" borderId="17" xfId="0" applyFont="1" applyFill="1" applyBorder="1" applyAlignment="1">
      <alignment horizontal="center" vertical="center"/>
    </xf>
    <xf numFmtId="0" fontId="11" fillId="4" borderId="12" xfId="0" applyFont="1" applyFill="1" applyBorder="1" applyAlignment="1">
      <alignment horizontal="center" vertical="center"/>
    </xf>
    <xf numFmtId="0" fontId="11" fillId="4" borderId="15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12" fillId="4" borderId="16" xfId="0" applyFont="1" applyFill="1" applyBorder="1" applyAlignment="1">
      <alignment horizontal="center" vertical="center"/>
    </xf>
    <xf numFmtId="0" fontId="13" fillId="4" borderId="13" xfId="0" applyFont="1" applyFill="1" applyBorder="1" applyAlignment="1">
      <alignment horizontal="center" vertical="center"/>
    </xf>
    <xf numFmtId="0" fontId="13" fillId="4" borderId="16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9" fontId="13" fillId="0" borderId="0" xfId="2" applyFont="1" applyAlignment="1">
      <alignment horizontal="center" vertical="center"/>
    </xf>
    <xf numFmtId="0" fontId="12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13" fillId="7" borderId="13" xfId="0" applyFont="1" applyFill="1" applyBorder="1" applyAlignment="1">
      <alignment horizontal="center" vertical="center"/>
    </xf>
    <xf numFmtId="0" fontId="13" fillId="7" borderId="16" xfId="0" applyFont="1" applyFill="1" applyBorder="1" applyAlignment="1">
      <alignment horizontal="center" vertical="center"/>
    </xf>
    <xf numFmtId="0" fontId="13" fillId="7" borderId="14" xfId="0" applyFont="1" applyFill="1" applyBorder="1" applyAlignment="1">
      <alignment horizontal="center" vertical="center"/>
    </xf>
    <xf numFmtId="0" fontId="13" fillId="7" borderId="17" xfId="0" applyFont="1" applyFill="1" applyBorder="1" applyAlignment="1">
      <alignment horizontal="center" vertical="center"/>
    </xf>
    <xf numFmtId="0" fontId="13" fillId="7" borderId="12" xfId="0" applyFont="1" applyFill="1" applyBorder="1" applyAlignment="1">
      <alignment horizontal="center" vertical="center"/>
    </xf>
    <xf numFmtId="0" fontId="13" fillId="7" borderId="15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0D454-D7FA-4565-B820-209BBC74B17F}">
  <sheetPr codeName="Sheet1"/>
  <dimension ref="A1:E17"/>
  <sheetViews>
    <sheetView workbookViewId="0">
      <selection activeCell="C5" sqref="C5"/>
    </sheetView>
  </sheetViews>
  <sheetFormatPr defaultRowHeight="14.4" x14ac:dyDescent="0.3"/>
  <cols>
    <col min="1" max="1" width="62.21875" bestFit="1" customWidth="1"/>
    <col min="2" max="3" width="17.77734375" customWidth="1"/>
    <col min="4" max="5" width="17.88671875" bestFit="1" customWidth="1"/>
  </cols>
  <sheetData>
    <row r="1" spans="1:5" ht="15.6" customHeight="1" x14ac:dyDescent="0.3">
      <c r="A1" s="82" t="s">
        <v>0</v>
      </c>
      <c r="B1" s="82"/>
    </row>
    <row r="2" spans="1:5" ht="14.4" customHeight="1" x14ac:dyDescent="0.3">
      <c r="A2" s="82"/>
      <c r="B2" s="82"/>
    </row>
    <row r="3" spans="1:5" ht="14.4" customHeight="1" x14ac:dyDescent="0.3">
      <c r="A3" s="1"/>
      <c r="B3" s="1"/>
      <c r="C3" s="83">
        <v>1</v>
      </c>
    </row>
    <row r="4" spans="1:5" ht="19.2" customHeight="1" x14ac:dyDescent="0.45">
      <c r="A4" s="81" t="s">
        <v>1</v>
      </c>
      <c r="B4" s="81"/>
      <c r="C4" s="83"/>
    </row>
    <row r="6" spans="1:5" ht="15.6" x14ac:dyDescent="0.3">
      <c r="A6" s="3" t="s">
        <v>2</v>
      </c>
      <c r="B6" s="3" t="s">
        <v>3</v>
      </c>
      <c r="C6" s="15" t="s">
        <v>4</v>
      </c>
      <c r="D6" s="16" t="s">
        <v>5</v>
      </c>
      <c r="E6" s="3" t="s">
        <v>6</v>
      </c>
    </row>
    <row r="7" spans="1:5" ht="15.6" x14ac:dyDescent="0.3">
      <c r="A7" s="4" t="s">
        <v>7</v>
      </c>
      <c r="B7" s="5">
        <v>0.25</v>
      </c>
      <c r="C7" s="5">
        <v>0.35</v>
      </c>
      <c r="D7" s="5">
        <v>0.1</v>
      </c>
      <c r="E7" s="6">
        <f t="shared" ref="E7:E14" si="0">CHOOSE($C$3, B7, C7, D7)</f>
        <v>0.25</v>
      </c>
    </row>
    <row r="8" spans="1:5" ht="15.6" x14ac:dyDescent="0.3">
      <c r="A8" s="4" t="s">
        <v>8</v>
      </c>
      <c r="B8" s="5">
        <v>0.2</v>
      </c>
      <c r="C8" s="5">
        <v>0.16</v>
      </c>
      <c r="D8" s="5">
        <v>0.25</v>
      </c>
      <c r="E8" s="6">
        <f t="shared" si="0"/>
        <v>0.2</v>
      </c>
    </row>
    <row r="9" spans="1:5" ht="15.6" x14ac:dyDescent="0.3">
      <c r="A9" s="4" t="s">
        <v>9</v>
      </c>
      <c r="B9" s="5">
        <v>0.25</v>
      </c>
      <c r="C9" s="5">
        <v>0.2</v>
      </c>
      <c r="D9" s="5">
        <v>0.3</v>
      </c>
      <c r="E9" s="6">
        <f t="shared" si="0"/>
        <v>0.25</v>
      </c>
    </row>
    <row r="10" spans="1:5" ht="15.6" x14ac:dyDescent="0.3">
      <c r="A10" s="4" t="s">
        <v>10</v>
      </c>
      <c r="B10" s="5">
        <v>0.18</v>
      </c>
      <c r="C10" s="5">
        <v>0.15</v>
      </c>
      <c r="D10" s="5">
        <v>0.22</v>
      </c>
      <c r="E10" s="6">
        <f t="shared" si="0"/>
        <v>0.18</v>
      </c>
    </row>
    <row r="11" spans="1:5" ht="15.6" x14ac:dyDescent="0.3">
      <c r="A11" s="4" t="s">
        <v>11</v>
      </c>
      <c r="B11" s="5">
        <v>0.08</v>
      </c>
      <c r="C11" s="5">
        <v>7.0000000000000007E-2</v>
      </c>
      <c r="D11" s="5">
        <v>0.1</v>
      </c>
      <c r="E11" s="6">
        <f t="shared" si="0"/>
        <v>0.08</v>
      </c>
    </row>
    <row r="12" spans="1:5" ht="15.6" x14ac:dyDescent="0.3">
      <c r="A12" s="4" t="s">
        <v>12</v>
      </c>
      <c r="B12" s="7">
        <v>600000</v>
      </c>
      <c r="C12" s="7">
        <v>600000</v>
      </c>
      <c r="D12" s="7">
        <v>650000</v>
      </c>
      <c r="E12" s="8">
        <f t="shared" si="0"/>
        <v>600000</v>
      </c>
    </row>
    <row r="13" spans="1:5" ht="15.6" x14ac:dyDescent="0.3">
      <c r="A13" s="4" t="s">
        <v>13</v>
      </c>
      <c r="B13" s="5">
        <v>0.25</v>
      </c>
      <c r="C13" s="5">
        <v>0.25</v>
      </c>
      <c r="D13" s="5">
        <v>0.25</v>
      </c>
      <c r="E13" s="6">
        <f t="shared" si="0"/>
        <v>0.25</v>
      </c>
    </row>
    <row r="14" spans="1:5" ht="15.6" x14ac:dyDescent="0.3">
      <c r="A14" s="4" t="s">
        <v>14</v>
      </c>
      <c r="B14" s="5">
        <v>0.1</v>
      </c>
      <c r="C14" s="5">
        <v>0.1</v>
      </c>
      <c r="D14" s="5">
        <v>0.1</v>
      </c>
      <c r="E14" s="6">
        <f t="shared" si="0"/>
        <v>0.1</v>
      </c>
    </row>
    <row r="15" spans="1:5" ht="15.6" x14ac:dyDescent="0.3">
      <c r="A15" s="9" t="s">
        <v>37</v>
      </c>
      <c r="B15" s="10">
        <v>1000000</v>
      </c>
      <c r="C15" s="17">
        <v>1000000</v>
      </c>
      <c r="D15" s="17">
        <v>1000000</v>
      </c>
      <c r="E15" s="10">
        <f>CHOOSE($C$3, B15,C15,D15)</f>
        <v>1000000</v>
      </c>
    </row>
    <row r="16" spans="1:5" ht="15.6" x14ac:dyDescent="0.3">
      <c r="A16" s="11" t="s">
        <v>38</v>
      </c>
      <c r="B16" s="12">
        <v>625000</v>
      </c>
      <c r="C16" s="18">
        <v>625000</v>
      </c>
      <c r="D16" s="18">
        <v>625000</v>
      </c>
      <c r="E16" s="12">
        <f>CHOOSE($C$3, B16, C16, D16)</f>
        <v>625000</v>
      </c>
    </row>
    <row r="17" spans="1:5" ht="15.6" x14ac:dyDescent="0.3">
      <c r="A17" s="11" t="s">
        <v>39</v>
      </c>
      <c r="B17" s="13">
        <v>0.08</v>
      </c>
      <c r="C17" s="19">
        <v>0.08</v>
      </c>
      <c r="D17" s="19">
        <v>0.08</v>
      </c>
      <c r="E17" s="14">
        <f>CHOOSE($C$3, B17, C17, D17)</f>
        <v>0.08</v>
      </c>
    </row>
  </sheetData>
  <mergeCells count="3">
    <mergeCell ref="A4:B4"/>
    <mergeCell ref="A1:B2"/>
    <mergeCell ref="C3:C4"/>
  </mergeCells>
  <pageMargins left="0.7" right="0.7" top="0.75" bottom="0.75" header="0.3" footer="0.3"/>
  <ignoredErrors>
    <ignoredError sqref="E15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350FB-ABA2-472C-92E9-2AEB46D08C8B}">
  <sheetPr codeName="Sheet2"/>
  <dimension ref="A1:E22"/>
  <sheetViews>
    <sheetView zoomScale="93" zoomScaleNormal="100" workbookViewId="0">
      <selection activeCell="A5" sqref="A5:E6"/>
    </sheetView>
  </sheetViews>
  <sheetFormatPr defaultRowHeight="14.4" x14ac:dyDescent="0.3"/>
  <cols>
    <col min="1" max="1" width="32.6640625" customWidth="1"/>
    <col min="2" max="2" width="13.5546875" bestFit="1" customWidth="1"/>
    <col min="3" max="3" width="14" customWidth="1"/>
    <col min="4" max="4" width="12.88671875" bestFit="1" customWidth="1"/>
    <col min="5" max="5" width="13.88671875" customWidth="1"/>
  </cols>
  <sheetData>
    <row r="1" spans="1:5" ht="14.4" customHeight="1" x14ac:dyDescent="0.3">
      <c r="A1" s="92" t="s">
        <v>15</v>
      </c>
      <c r="B1" s="92"/>
      <c r="C1" s="92"/>
      <c r="D1" s="92"/>
    </row>
    <row r="2" spans="1:5" ht="14.4" customHeight="1" x14ac:dyDescent="0.3">
      <c r="A2" s="92"/>
      <c r="B2" s="92"/>
      <c r="C2" s="92"/>
      <c r="D2" s="92"/>
    </row>
    <row r="3" spans="1:5" x14ac:dyDescent="0.3">
      <c r="A3" s="92"/>
      <c r="B3" s="92"/>
      <c r="C3" s="92"/>
      <c r="D3" s="92"/>
    </row>
    <row r="4" spans="1:5" ht="15" thickBot="1" x14ac:dyDescent="0.35"/>
    <row r="5" spans="1:5" ht="18" customHeight="1" x14ac:dyDescent="0.3">
      <c r="A5" s="86" t="s">
        <v>36</v>
      </c>
      <c r="B5" s="88" t="s">
        <v>16</v>
      </c>
      <c r="C5" s="90" t="s">
        <v>17</v>
      </c>
      <c r="D5" s="90" t="s">
        <v>18</v>
      </c>
      <c r="E5" s="84" t="s">
        <v>19</v>
      </c>
    </row>
    <row r="6" spans="1:5" ht="15" thickBot="1" x14ac:dyDescent="0.35">
      <c r="A6" s="87"/>
      <c r="B6" s="89"/>
      <c r="C6" s="91"/>
      <c r="D6" s="91"/>
      <c r="E6" s="85"/>
    </row>
    <row r="7" spans="1:5" ht="15.6" x14ac:dyDescent="0.3">
      <c r="A7" s="43" t="s">
        <v>20</v>
      </c>
      <c r="B7" s="40">
        <v>5000000</v>
      </c>
      <c r="C7" s="42">
        <f>B7 * (1 + Assumptions!$E$7)</f>
        <v>6250000</v>
      </c>
      <c r="D7" s="42">
        <f>C7 * (1 + Assumptions!$E$7)</f>
        <v>7812500</v>
      </c>
      <c r="E7" s="42">
        <f>D7 * (1 + Assumptions!$E$7)</f>
        <v>9765625</v>
      </c>
    </row>
    <row r="8" spans="1:5" ht="15.6" x14ac:dyDescent="0.3">
      <c r="A8" s="44" t="s">
        <v>21</v>
      </c>
      <c r="B8" s="41">
        <v>1000000</v>
      </c>
      <c r="C8" s="41">
        <f>C7*Assumptions!$E$8</f>
        <v>1250000</v>
      </c>
      <c r="D8" s="41">
        <f>D7*Assumptions!$E$8</f>
        <v>1562500</v>
      </c>
      <c r="E8" s="41">
        <f>E7*Assumptions!$E$8</f>
        <v>1953125</v>
      </c>
    </row>
    <row r="9" spans="1:5" ht="15.6" x14ac:dyDescent="0.3">
      <c r="A9" s="22" t="s">
        <v>22</v>
      </c>
      <c r="B9" s="33">
        <f>B7-B8</f>
        <v>4000000</v>
      </c>
      <c r="C9" s="33">
        <f>C7-C8</f>
        <v>5000000</v>
      </c>
      <c r="D9" s="33">
        <f t="shared" ref="D9:E9" si="0">D7-D8</f>
        <v>6250000</v>
      </c>
      <c r="E9" s="33">
        <f t="shared" si="0"/>
        <v>7812500</v>
      </c>
    </row>
    <row r="10" spans="1:5" ht="15.6" x14ac:dyDescent="0.3">
      <c r="A10" s="45" t="s">
        <v>23</v>
      </c>
      <c r="B10" s="39"/>
      <c r="C10" s="39"/>
      <c r="D10" s="39"/>
      <c r="E10" s="39"/>
    </row>
    <row r="11" spans="1:5" ht="15.6" x14ac:dyDescent="0.3">
      <c r="A11" s="43" t="s">
        <v>24</v>
      </c>
      <c r="B11" s="40">
        <v>1250000</v>
      </c>
      <c r="C11" s="40">
        <f>C7*Assumptions!$E$9</f>
        <v>1562500</v>
      </c>
      <c r="D11" s="40">
        <f>D7*Assumptions!$E$9</f>
        <v>1953125</v>
      </c>
      <c r="E11" s="40">
        <f>E7*Assumptions!$E$9</f>
        <v>2441406.25</v>
      </c>
    </row>
    <row r="12" spans="1:5" ht="15.6" x14ac:dyDescent="0.3">
      <c r="A12" s="43" t="s">
        <v>25</v>
      </c>
      <c r="B12" s="40">
        <v>900000</v>
      </c>
      <c r="C12" s="40">
        <f>C7*Assumptions!$E$10</f>
        <v>1125000</v>
      </c>
      <c r="D12" s="40">
        <f>D7*Assumptions!$E$10</f>
        <v>1406250</v>
      </c>
      <c r="E12" s="40">
        <f>E7*Assumptions!$E$10</f>
        <v>1757812.5</v>
      </c>
    </row>
    <row r="13" spans="1:5" ht="15.6" x14ac:dyDescent="0.3">
      <c r="A13" s="43" t="s">
        <v>26</v>
      </c>
      <c r="B13" s="40">
        <v>400000</v>
      </c>
      <c r="C13" s="40">
        <f>C7*Assumptions!$E$11</f>
        <v>500000</v>
      </c>
      <c r="D13" s="40">
        <f>D7*Assumptions!$E$11</f>
        <v>625000</v>
      </c>
      <c r="E13" s="40">
        <f>E7*Assumptions!$E$11</f>
        <v>781250</v>
      </c>
    </row>
    <row r="14" spans="1:5" ht="15.6" x14ac:dyDescent="0.3">
      <c r="A14" s="44" t="s">
        <v>27</v>
      </c>
      <c r="B14" s="41">
        <v>600000</v>
      </c>
      <c r="C14" s="41">
        <f>Assumptions!$E$12</f>
        <v>600000</v>
      </c>
      <c r="D14" s="41">
        <f>Assumptions!$E$12</f>
        <v>600000</v>
      </c>
      <c r="E14" s="41">
        <f>Assumptions!$E$12</f>
        <v>600000</v>
      </c>
    </row>
    <row r="15" spans="1:5" ht="15.6" x14ac:dyDescent="0.3">
      <c r="A15" s="22" t="s">
        <v>28</v>
      </c>
      <c r="B15" s="33">
        <f>SUM(B11:B14)</f>
        <v>3150000</v>
      </c>
      <c r="C15" s="33">
        <f>SUM(C11:C14)</f>
        <v>3787500</v>
      </c>
      <c r="D15" s="33">
        <f t="shared" ref="D15:E15" si="1">SUM(D11:D14)</f>
        <v>4584375</v>
      </c>
      <c r="E15" s="33">
        <f t="shared" si="1"/>
        <v>5580468.75</v>
      </c>
    </row>
    <row r="16" spans="1:5" ht="15.6" x14ac:dyDescent="0.3">
      <c r="A16" s="37" t="s">
        <v>29</v>
      </c>
      <c r="B16" s="38">
        <f>B9-B15</f>
        <v>850000</v>
      </c>
      <c r="C16" s="38">
        <f>C9-C15</f>
        <v>1212500</v>
      </c>
      <c r="D16" s="38">
        <f t="shared" ref="D16:E16" si="2">D9-D15</f>
        <v>1665625</v>
      </c>
      <c r="E16" s="38">
        <f t="shared" si="2"/>
        <v>2232031.25</v>
      </c>
    </row>
    <row r="17" spans="1:5" ht="15.6" x14ac:dyDescent="0.3">
      <c r="A17" s="43" t="s">
        <v>30</v>
      </c>
      <c r="B17" s="46">
        <v>100000</v>
      </c>
      <c r="C17" s="46">
        <f>Assumptions!$E$15*Assumptions!$E$14</f>
        <v>100000</v>
      </c>
      <c r="D17" s="46">
        <f>Assumptions!$E$15*Assumptions!$E$14</f>
        <v>100000</v>
      </c>
      <c r="E17" s="46">
        <f>Assumptions!$E$15*Assumptions!$E$14</f>
        <v>100000</v>
      </c>
    </row>
    <row r="18" spans="1:5" ht="15.6" x14ac:dyDescent="0.3">
      <c r="A18" s="37" t="s">
        <v>31</v>
      </c>
      <c r="B18" s="38">
        <f>B16-B17</f>
        <v>750000</v>
      </c>
      <c r="C18" s="38">
        <f>C16-C17</f>
        <v>1112500</v>
      </c>
      <c r="D18" s="38">
        <f t="shared" ref="D18:E18" si="3">D16-D17</f>
        <v>1565625</v>
      </c>
      <c r="E18" s="38">
        <f t="shared" si="3"/>
        <v>2132031.25</v>
      </c>
    </row>
    <row r="19" spans="1:5" ht="15.6" x14ac:dyDescent="0.3">
      <c r="A19" s="43" t="s">
        <v>32</v>
      </c>
      <c r="B19" s="46">
        <v>50000</v>
      </c>
      <c r="C19" s="46">
        <f>Assumptions!$E$16*Assumptions!$E$17</f>
        <v>50000</v>
      </c>
      <c r="D19" s="46">
        <f>Assumptions!$E$16*Assumptions!$E$17</f>
        <v>50000</v>
      </c>
      <c r="E19" s="46">
        <f>Assumptions!$E$16*Assumptions!$E$17</f>
        <v>50000</v>
      </c>
    </row>
    <row r="20" spans="1:5" ht="15.6" x14ac:dyDescent="0.3">
      <c r="A20" s="37" t="s">
        <v>33</v>
      </c>
      <c r="B20" s="38">
        <f>B18-B19</f>
        <v>700000</v>
      </c>
      <c r="C20" s="38">
        <f>C18-C19</f>
        <v>1062500</v>
      </c>
      <c r="D20" s="38">
        <f t="shared" ref="D20:E20" si="4">D18-D19</f>
        <v>1515625</v>
      </c>
      <c r="E20" s="38">
        <f t="shared" si="4"/>
        <v>2082031.25</v>
      </c>
    </row>
    <row r="21" spans="1:5" ht="16.2" thickBot="1" x14ac:dyDescent="0.35">
      <c r="A21" s="43" t="s">
        <v>34</v>
      </c>
      <c r="B21" s="46">
        <f>B20*0.25</f>
        <v>175000</v>
      </c>
      <c r="C21" s="46">
        <f>IF(C20&gt;0,C20*Assumptions!$E$13,0)</f>
        <v>265625</v>
      </c>
      <c r="D21" s="46">
        <f>IF(D20&gt;0,D20*Assumptions!$E$13,0)</f>
        <v>378906.25</v>
      </c>
      <c r="E21" s="46">
        <f>IF(E20&gt;0,E20*Assumptions!$E$13,0)</f>
        <v>520507.8125</v>
      </c>
    </row>
    <row r="22" spans="1:5" ht="16.2" thickBot="1" x14ac:dyDescent="0.35">
      <c r="A22" s="47" t="s">
        <v>35</v>
      </c>
      <c r="B22" s="48">
        <f>B20-B21</f>
        <v>525000</v>
      </c>
      <c r="C22" s="48">
        <f>C20-C21</f>
        <v>796875</v>
      </c>
      <c r="D22" s="48">
        <f t="shared" ref="D22:E22" si="5">D20-D21</f>
        <v>1136718.75</v>
      </c>
      <c r="E22" s="49">
        <f t="shared" si="5"/>
        <v>1561523.4375</v>
      </c>
    </row>
  </sheetData>
  <mergeCells count="6">
    <mergeCell ref="A1:D3"/>
    <mergeCell ref="E5:E6"/>
    <mergeCell ref="A5:A6"/>
    <mergeCell ref="B5:B6"/>
    <mergeCell ref="C5:C6"/>
    <mergeCell ref="D5:D6"/>
  </mergeCells>
  <pageMargins left="0.7" right="0.7" top="0.75" bottom="0.75" header="0.3" footer="0.3"/>
  <ignoredErrors>
    <ignoredError sqref="B21:C21 C19:E19 D21:E21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ED7B3-9457-4182-B42E-7C38355DC4AC}">
  <sheetPr codeName="Sheet3"/>
  <dimension ref="A1:G33"/>
  <sheetViews>
    <sheetView topLeftCell="A14" zoomScale="89" workbookViewId="0">
      <selection activeCell="A33" sqref="A33:E33"/>
    </sheetView>
  </sheetViews>
  <sheetFormatPr defaultRowHeight="14.4" x14ac:dyDescent="0.3"/>
  <cols>
    <col min="1" max="1" width="37" customWidth="1"/>
    <col min="2" max="2" width="14.109375" bestFit="1" customWidth="1"/>
    <col min="3" max="5" width="13.44140625" bestFit="1" customWidth="1"/>
    <col min="17" max="17" width="8.88671875" customWidth="1"/>
  </cols>
  <sheetData>
    <row r="1" spans="1:7" ht="18" customHeight="1" x14ac:dyDescent="0.35">
      <c r="A1" s="93" t="s">
        <v>40</v>
      </c>
      <c r="B1" s="93"/>
      <c r="C1" s="93"/>
      <c r="D1" s="93"/>
      <c r="E1" s="93"/>
      <c r="F1" s="2"/>
      <c r="G1" s="2"/>
    </row>
    <row r="2" spans="1:7" ht="14.4" customHeight="1" x14ac:dyDescent="0.35">
      <c r="A2" s="93"/>
      <c r="B2" s="93"/>
      <c r="C2" s="93"/>
      <c r="D2" s="93"/>
      <c r="E2" s="93"/>
      <c r="F2" s="2"/>
      <c r="G2" s="2"/>
    </row>
    <row r="3" spans="1:7" ht="14.4" customHeight="1" x14ac:dyDescent="0.4">
      <c r="A3" s="20"/>
      <c r="B3" s="20"/>
      <c r="C3" s="20"/>
      <c r="D3" s="20"/>
      <c r="E3" s="20"/>
      <c r="F3" s="2"/>
      <c r="G3" s="2"/>
    </row>
    <row r="4" spans="1:7" ht="15.6" customHeight="1" x14ac:dyDescent="0.3">
      <c r="A4" s="94" t="s">
        <v>41</v>
      </c>
      <c r="B4" s="94" t="s">
        <v>16</v>
      </c>
      <c r="C4" s="95" t="s">
        <v>17</v>
      </c>
      <c r="D4" s="95" t="s">
        <v>18</v>
      </c>
      <c r="E4" s="95" t="s">
        <v>19</v>
      </c>
    </row>
    <row r="5" spans="1:7" x14ac:dyDescent="0.3">
      <c r="A5" s="94"/>
      <c r="B5" s="94"/>
      <c r="C5" s="95"/>
      <c r="D5" s="95"/>
      <c r="E5" s="95"/>
    </row>
    <row r="6" spans="1:7" ht="15.6" x14ac:dyDescent="0.3">
      <c r="A6" s="22" t="s">
        <v>42</v>
      </c>
      <c r="B6" s="22" t="s">
        <v>65</v>
      </c>
      <c r="C6" s="22" t="s">
        <v>65</v>
      </c>
      <c r="D6" s="22" t="s">
        <v>65</v>
      </c>
      <c r="E6" s="22" t="s">
        <v>65</v>
      </c>
    </row>
    <row r="7" spans="1:7" ht="15.6" x14ac:dyDescent="0.3">
      <c r="A7" s="37" t="s">
        <v>43</v>
      </c>
      <c r="B7" s="35"/>
      <c r="C7" s="65"/>
      <c r="D7" s="65"/>
      <c r="E7" s="65"/>
    </row>
    <row r="8" spans="1:7" ht="15.6" x14ac:dyDescent="0.3">
      <c r="A8" s="43" t="s">
        <v>44</v>
      </c>
      <c r="B8" s="40">
        <v>1500000</v>
      </c>
      <c r="C8" s="53">
        <f>C33-C16-C9</f>
        <v>2263312.780821918</v>
      </c>
      <c r="D8" s="53">
        <f>D33-D16-D9</f>
        <v>3333079.476027397</v>
      </c>
      <c r="E8" s="53">
        <f t="shared" ref="E8" si="0">E33-E16-E9</f>
        <v>4785912.8450342454</v>
      </c>
    </row>
    <row r="9" spans="1:7" ht="15.6" x14ac:dyDescent="0.3">
      <c r="A9" s="43" t="s">
        <v>45</v>
      </c>
      <c r="B9" s="40">
        <v>616438</v>
      </c>
      <c r="C9" s="53">
        <f>('Income statement '!C7/365)*45</f>
        <v>770547.94520547939</v>
      </c>
      <c r="D9" s="53">
        <f>('Income statement '!D7/365)*45</f>
        <v>963184.93150684924</v>
      </c>
      <c r="E9" s="53">
        <f>('Income statement '!E7/365)*45</f>
        <v>1203981.1643835618</v>
      </c>
    </row>
    <row r="10" spans="1:7" ht="15.6" x14ac:dyDescent="0.3">
      <c r="A10" s="22" t="s">
        <v>46</v>
      </c>
      <c r="B10" s="33">
        <f>SUM(B8:B9)</f>
        <v>2116438</v>
      </c>
      <c r="C10" s="25">
        <f>SUM(C8:C9)</f>
        <v>3033860.7260273974</v>
      </c>
      <c r="D10" s="25">
        <f t="shared" ref="D10:E10" si="1">SUM(D8:D9)</f>
        <v>4296264.4075342463</v>
      </c>
      <c r="E10" s="25">
        <f t="shared" si="1"/>
        <v>5989894.0094178077</v>
      </c>
    </row>
    <row r="11" spans="1:7" ht="15.6" x14ac:dyDescent="0.3">
      <c r="A11" s="11"/>
      <c r="B11" s="32"/>
      <c r="C11" s="24"/>
      <c r="D11" s="24"/>
      <c r="E11" s="24"/>
    </row>
    <row r="12" spans="1:7" ht="15.6" x14ac:dyDescent="0.3">
      <c r="A12" s="37" t="s">
        <v>47</v>
      </c>
      <c r="B12" s="36"/>
      <c r="C12" s="65"/>
      <c r="D12" s="65"/>
      <c r="E12" s="65"/>
    </row>
    <row r="13" spans="1:7" ht="15.6" x14ac:dyDescent="0.3">
      <c r="A13" s="43" t="s">
        <v>48</v>
      </c>
      <c r="B13" s="40">
        <v>1000000</v>
      </c>
      <c r="C13" s="53">
        <f>B13</f>
        <v>1000000</v>
      </c>
      <c r="D13" s="53">
        <f t="shared" ref="D13:E13" si="2">C13</f>
        <v>1000000</v>
      </c>
      <c r="E13" s="53">
        <f t="shared" si="2"/>
        <v>1000000</v>
      </c>
    </row>
    <row r="14" spans="1:7" ht="15.6" x14ac:dyDescent="0.3">
      <c r="A14" s="43" t="s">
        <v>49</v>
      </c>
      <c r="B14" s="40">
        <v>100000</v>
      </c>
      <c r="C14" s="53">
        <f>B14+'Income statement '!C17</f>
        <v>200000</v>
      </c>
      <c r="D14" s="53">
        <f>C14+'Income statement '!D17</f>
        <v>300000</v>
      </c>
      <c r="E14" s="53">
        <f>D14+'Income statement '!E17</f>
        <v>400000</v>
      </c>
    </row>
    <row r="15" spans="1:7" ht="15.6" x14ac:dyDescent="0.3">
      <c r="A15" s="43" t="s">
        <v>50</v>
      </c>
      <c r="B15" s="40">
        <f>B13-B14</f>
        <v>900000</v>
      </c>
      <c r="C15" s="53">
        <f>C13-C14</f>
        <v>800000</v>
      </c>
      <c r="D15" s="53">
        <f t="shared" ref="D15:E15" si="3">D13-D14</f>
        <v>700000</v>
      </c>
      <c r="E15" s="53">
        <f t="shared" si="3"/>
        <v>600000</v>
      </c>
    </row>
    <row r="16" spans="1:7" ht="16.2" thickBot="1" x14ac:dyDescent="0.35">
      <c r="A16" s="37" t="s">
        <v>64</v>
      </c>
      <c r="B16" s="38">
        <f>B15</f>
        <v>900000</v>
      </c>
      <c r="C16" s="60">
        <f>C15</f>
        <v>800000</v>
      </c>
      <c r="D16" s="60">
        <f t="shared" ref="D16:E16" si="4">D15</f>
        <v>700000</v>
      </c>
      <c r="E16" s="60">
        <f t="shared" si="4"/>
        <v>600000</v>
      </c>
    </row>
    <row r="17" spans="1:5" ht="16.2" thickBot="1" x14ac:dyDescent="0.35">
      <c r="A17" s="47" t="s">
        <v>51</v>
      </c>
      <c r="B17" s="48">
        <f>B10+B15</f>
        <v>3016438</v>
      </c>
      <c r="C17" s="58">
        <f>C10+C16</f>
        <v>3833860.7260273974</v>
      </c>
      <c r="D17" s="58">
        <f t="shared" ref="D17:E17" si="5">D10+D16</f>
        <v>4996264.4075342463</v>
      </c>
      <c r="E17" s="59">
        <f t="shared" si="5"/>
        <v>6589894.0094178077</v>
      </c>
    </row>
    <row r="18" spans="1:5" ht="15.6" x14ac:dyDescent="0.3">
      <c r="A18" s="78"/>
      <c r="B18" s="79"/>
      <c r="C18" s="56"/>
      <c r="D18" s="56"/>
      <c r="E18" s="56"/>
    </row>
    <row r="19" spans="1:5" ht="15.6" x14ac:dyDescent="0.3">
      <c r="A19" s="22" t="s">
        <v>52</v>
      </c>
      <c r="B19" s="32"/>
      <c r="C19" s="24"/>
      <c r="D19" s="24"/>
      <c r="E19" s="24"/>
    </row>
    <row r="20" spans="1:5" ht="15.6" x14ac:dyDescent="0.3">
      <c r="A20" s="37" t="s">
        <v>53</v>
      </c>
      <c r="B20" s="36"/>
      <c r="C20" s="65"/>
      <c r="D20" s="65"/>
      <c r="E20" s="65"/>
    </row>
    <row r="21" spans="1:5" ht="15.6" x14ac:dyDescent="0.3">
      <c r="A21" s="43" t="s">
        <v>54</v>
      </c>
      <c r="B21" s="46">
        <v>82192</v>
      </c>
      <c r="C21" s="71">
        <f>('Income statement '!C8/365)*30</f>
        <v>102739.72602739726</v>
      </c>
      <c r="D21" s="71">
        <f>('Income statement '!D8/365)*30</f>
        <v>128424.65753424657</v>
      </c>
      <c r="E21" s="53">
        <f>('Income statement '!E8/365)*30</f>
        <v>160530.82191780821</v>
      </c>
    </row>
    <row r="22" spans="1:5" ht="15.6" x14ac:dyDescent="0.3">
      <c r="A22" s="22" t="s">
        <v>55</v>
      </c>
      <c r="B22" s="33">
        <f>B21</f>
        <v>82192</v>
      </c>
      <c r="C22" s="25">
        <f>C21</f>
        <v>102739.72602739726</v>
      </c>
      <c r="D22" s="25">
        <f t="shared" ref="D22:E22" si="6">D21</f>
        <v>128424.65753424657</v>
      </c>
      <c r="E22" s="25">
        <f t="shared" si="6"/>
        <v>160530.82191780821</v>
      </c>
    </row>
    <row r="23" spans="1:5" ht="15.6" x14ac:dyDescent="0.3">
      <c r="A23" s="11"/>
      <c r="B23" s="32"/>
      <c r="C23" s="24"/>
      <c r="D23" s="24"/>
      <c r="E23" s="24"/>
    </row>
    <row r="24" spans="1:5" ht="15.6" x14ac:dyDescent="0.3">
      <c r="A24" s="37" t="s">
        <v>56</v>
      </c>
      <c r="B24" s="36"/>
      <c r="C24" s="65"/>
      <c r="D24" s="65"/>
      <c r="E24" s="65"/>
    </row>
    <row r="25" spans="1:5" ht="15.6" x14ac:dyDescent="0.3">
      <c r="A25" s="43" t="s">
        <v>57</v>
      </c>
      <c r="B25" s="46">
        <v>625000</v>
      </c>
      <c r="C25" s="52">
        <f>B25</f>
        <v>625000</v>
      </c>
      <c r="D25" s="53">
        <f t="shared" ref="D25:E25" si="7">C25</f>
        <v>625000</v>
      </c>
      <c r="E25" s="71">
        <f t="shared" si="7"/>
        <v>625000</v>
      </c>
    </row>
    <row r="26" spans="1:5" ht="15.6" x14ac:dyDescent="0.3">
      <c r="A26" s="22" t="s">
        <v>66</v>
      </c>
      <c r="B26" s="32">
        <f>B25</f>
        <v>625000</v>
      </c>
      <c r="C26" s="23">
        <f>C25</f>
        <v>625000</v>
      </c>
      <c r="D26" s="23">
        <f t="shared" ref="D26:E26" si="8">D25</f>
        <v>625000</v>
      </c>
      <c r="E26" s="23">
        <f t="shared" si="8"/>
        <v>625000</v>
      </c>
    </row>
    <row r="27" spans="1:5" ht="15.6" x14ac:dyDescent="0.3">
      <c r="A27" s="22" t="s">
        <v>58</v>
      </c>
      <c r="B27" s="33">
        <f>B25+B22</f>
        <v>707192</v>
      </c>
      <c r="C27" s="25">
        <f>C22+C26</f>
        <v>727739.72602739721</v>
      </c>
      <c r="D27" s="25">
        <f t="shared" ref="D27:E27" si="9">D22+D26</f>
        <v>753424.65753424657</v>
      </c>
      <c r="E27" s="25">
        <f t="shared" si="9"/>
        <v>785530.82191780815</v>
      </c>
    </row>
    <row r="28" spans="1:5" ht="15.6" x14ac:dyDescent="0.3">
      <c r="A28" s="11"/>
      <c r="B28" s="32"/>
      <c r="C28" s="24"/>
      <c r="D28" s="24"/>
      <c r="E28" s="24"/>
    </row>
    <row r="29" spans="1:5" ht="15.6" x14ac:dyDescent="0.3">
      <c r="A29" s="37" t="s">
        <v>59</v>
      </c>
      <c r="B29" s="36"/>
      <c r="C29" s="65"/>
      <c r="D29" s="65"/>
      <c r="E29" s="65"/>
    </row>
    <row r="30" spans="1:5" ht="15.6" x14ac:dyDescent="0.3">
      <c r="A30" s="27" t="s">
        <v>60</v>
      </c>
      <c r="B30" s="80">
        <v>1000000</v>
      </c>
      <c r="C30" s="53">
        <f>B30</f>
        <v>1000000</v>
      </c>
      <c r="D30" s="53">
        <f t="shared" ref="D30:E30" si="10">C30</f>
        <v>1000000</v>
      </c>
      <c r="E30" s="53">
        <f t="shared" si="10"/>
        <v>1000000</v>
      </c>
    </row>
    <row r="31" spans="1:5" ht="15.6" x14ac:dyDescent="0.3">
      <c r="A31" s="27" t="s">
        <v>61</v>
      </c>
      <c r="B31" s="80">
        <v>1309246</v>
      </c>
      <c r="C31" s="53">
        <f>B31+'Income statement '!C22</f>
        <v>2106121</v>
      </c>
      <c r="D31" s="53">
        <f>C31+'Income statement '!D22</f>
        <v>3242839.75</v>
      </c>
      <c r="E31" s="53">
        <f>D31+'Income statement '!E22</f>
        <v>4804363.1875</v>
      </c>
    </row>
    <row r="32" spans="1:5" ht="16.2" thickBot="1" x14ac:dyDescent="0.35">
      <c r="A32" s="37" t="s">
        <v>62</v>
      </c>
      <c r="B32" s="38">
        <f>SUM(B30:B31)</f>
        <v>2309246</v>
      </c>
      <c r="C32" s="60">
        <f>SUM(C30:C31)</f>
        <v>3106121</v>
      </c>
      <c r="D32" s="60">
        <f t="shared" ref="D32:E32" si="11">SUM(D30:D31)</f>
        <v>4242839.75</v>
      </c>
      <c r="E32" s="60">
        <f t="shared" si="11"/>
        <v>5804363.1875</v>
      </c>
    </row>
    <row r="33" spans="1:5" ht="16.2" thickBot="1" x14ac:dyDescent="0.35">
      <c r="A33" s="47" t="s">
        <v>63</v>
      </c>
      <c r="B33" s="48">
        <f>B27+B32</f>
        <v>3016438</v>
      </c>
      <c r="C33" s="58">
        <f>C27+C32</f>
        <v>3833860.7260273974</v>
      </c>
      <c r="D33" s="58">
        <f t="shared" ref="D33:E33" si="12">D27+D32</f>
        <v>4996264.4075342463</v>
      </c>
      <c r="E33" s="59">
        <f t="shared" si="12"/>
        <v>6589894.0094178077</v>
      </c>
    </row>
  </sheetData>
  <mergeCells count="6">
    <mergeCell ref="A1:E2"/>
    <mergeCell ref="B4:B5"/>
    <mergeCell ref="C4:C5"/>
    <mergeCell ref="D4:D5"/>
    <mergeCell ref="E4:E5"/>
    <mergeCell ref="A4:A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1F010-C4FB-4CC3-82AF-6E4EB4905CC1}">
  <sheetPr codeName="Sheet4"/>
  <dimension ref="A1:D24"/>
  <sheetViews>
    <sheetView topLeftCell="A4" zoomScale="108" workbookViewId="0">
      <selection activeCell="F13" sqref="F13"/>
    </sheetView>
  </sheetViews>
  <sheetFormatPr defaultRowHeight="14.4" x14ac:dyDescent="0.3"/>
  <cols>
    <col min="1" max="1" width="43.33203125" bestFit="1" customWidth="1"/>
    <col min="2" max="4" width="14" bestFit="1" customWidth="1"/>
  </cols>
  <sheetData>
    <row r="1" spans="1:4" ht="21" customHeight="1" x14ac:dyDescent="0.3">
      <c r="A1" s="92" t="s">
        <v>67</v>
      </c>
      <c r="B1" s="92"/>
      <c r="C1" s="92"/>
      <c r="D1" s="92"/>
    </row>
    <row r="2" spans="1:4" ht="14.4" customHeight="1" x14ac:dyDescent="0.3">
      <c r="A2" s="92"/>
      <c r="B2" s="92"/>
      <c r="C2" s="92"/>
      <c r="D2" s="92"/>
    </row>
    <row r="3" spans="1:4" ht="14.4" customHeight="1" x14ac:dyDescent="0.3">
      <c r="A3" s="92"/>
      <c r="B3" s="92"/>
      <c r="C3" s="92"/>
      <c r="D3" s="92"/>
    </row>
    <row r="4" spans="1:4" ht="15" thickBot="1" x14ac:dyDescent="0.35"/>
    <row r="5" spans="1:4" ht="14.4" customHeight="1" x14ac:dyDescent="0.3">
      <c r="A5" s="100" t="s">
        <v>68</v>
      </c>
      <c r="B5" s="96" t="s">
        <v>17</v>
      </c>
      <c r="C5" s="96" t="s">
        <v>18</v>
      </c>
      <c r="D5" s="98" t="s">
        <v>19</v>
      </c>
    </row>
    <row r="6" spans="1:4" ht="14.4" customHeight="1" thickBot="1" x14ac:dyDescent="0.35">
      <c r="A6" s="101"/>
      <c r="B6" s="97"/>
      <c r="C6" s="97"/>
      <c r="D6" s="99"/>
    </row>
    <row r="7" spans="1:4" x14ac:dyDescent="0.3">
      <c r="A7" s="73" t="s">
        <v>69</v>
      </c>
      <c r="B7" s="56"/>
      <c r="C7" s="56"/>
      <c r="D7" s="56"/>
    </row>
    <row r="8" spans="1:4" x14ac:dyDescent="0.3">
      <c r="A8" s="63" t="s">
        <v>70</v>
      </c>
      <c r="B8" s="62">
        <f>'Income statement '!C22</f>
        <v>796875</v>
      </c>
      <c r="C8" s="62">
        <f>'Income statement '!D22</f>
        <v>1136718.75</v>
      </c>
      <c r="D8" s="62">
        <f>'Income statement '!E22</f>
        <v>1561523.4375</v>
      </c>
    </row>
    <row r="9" spans="1:4" x14ac:dyDescent="0.3">
      <c r="A9" s="55" t="s">
        <v>71</v>
      </c>
      <c r="B9" s="53">
        <f>'Income statement '!C17</f>
        <v>100000</v>
      </c>
      <c r="C9" s="53">
        <f>'Income statement '!D17</f>
        <v>100000</v>
      </c>
      <c r="D9" s="53">
        <f>'Income statement '!E17</f>
        <v>100000</v>
      </c>
    </row>
    <row r="10" spans="1:4" x14ac:dyDescent="0.3">
      <c r="A10" s="55" t="s">
        <v>72</v>
      </c>
      <c r="B10" s="53">
        <f>'Balance sheet '!B9-'Balance sheet '!C9</f>
        <v>-154109.94520547939</v>
      </c>
      <c r="C10" s="53">
        <f>'Balance sheet '!C9-'Balance sheet '!D9</f>
        <v>-192636.98630136985</v>
      </c>
      <c r="D10" s="53">
        <f>'Balance sheet '!D9-'Balance sheet '!E9</f>
        <v>-240796.23287671257</v>
      </c>
    </row>
    <row r="11" spans="1:4" x14ac:dyDescent="0.3">
      <c r="A11" s="68" t="s">
        <v>73</v>
      </c>
      <c r="B11" s="67">
        <f>'Balance sheet '!C21-'Balance sheet '!B21</f>
        <v>20547.726027397264</v>
      </c>
      <c r="C11" s="67">
        <f>'Balance sheet '!D21-'Balance sheet '!C21</f>
        <v>25684.931506849302</v>
      </c>
      <c r="D11" s="67">
        <f>'Balance sheet '!E21-'Balance sheet '!D21</f>
        <v>32106.164383561641</v>
      </c>
    </row>
    <row r="12" spans="1:4" x14ac:dyDescent="0.3">
      <c r="A12" s="34" t="s">
        <v>74</v>
      </c>
      <c r="B12" s="25">
        <f>SUM(B8:B11)</f>
        <v>763312.78082191781</v>
      </c>
      <c r="C12" s="25">
        <f t="shared" ref="C12:D12" si="0">SUM(C8:C11)</f>
        <v>1069766.6952054794</v>
      </c>
      <c r="D12" s="25">
        <f t="shared" si="0"/>
        <v>1452833.3690068491</v>
      </c>
    </row>
    <row r="13" spans="1:4" x14ac:dyDescent="0.3">
      <c r="A13" s="24"/>
      <c r="B13" s="24"/>
      <c r="C13" s="24"/>
      <c r="D13" s="24"/>
    </row>
    <row r="14" spans="1:4" x14ac:dyDescent="0.3">
      <c r="A14" s="69" t="s">
        <v>75</v>
      </c>
      <c r="B14" s="65"/>
      <c r="C14" s="65"/>
      <c r="D14" s="65"/>
    </row>
    <row r="15" spans="1:4" x14ac:dyDescent="0.3">
      <c r="A15" s="70" t="s">
        <v>76</v>
      </c>
      <c r="B15" s="64">
        <v>0</v>
      </c>
      <c r="C15" s="55">
        <v>0</v>
      </c>
      <c r="D15" s="55">
        <v>0</v>
      </c>
    </row>
    <row r="16" spans="1:4" x14ac:dyDescent="0.3">
      <c r="A16" s="34" t="s">
        <v>77</v>
      </c>
      <c r="B16" s="24">
        <f>B15</f>
        <v>0</v>
      </c>
      <c r="C16" s="24">
        <f t="shared" ref="C16:D16" si="1">C15</f>
        <v>0</v>
      </c>
      <c r="D16" s="24">
        <f t="shared" si="1"/>
        <v>0</v>
      </c>
    </row>
    <row r="17" spans="1:4" x14ac:dyDescent="0.3">
      <c r="A17" s="24"/>
      <c r="B17" s="24"/>
      <c r="C17" s="24"/>
      <c r="D17" s="24"/>
    </row>
    <row r="18" spans="1:4" x14ac:dyDescent="0.3">
      <c r="A18" s="69" t="s">
        <v>78</v>
      </c>
      <c r="B18" s="65"/>
      <c r="C18" s="65"/>
      <c r="D18" s="65"/>
    </row>
    <row r="19" spans="1:4" x14ac:dyDescent="0.3">
      <c r="A19" s="70" t="s">
        <v>79</v>
      </c>
      <c r="B19" s="64">
        <v>0</v>
      </c>
      <c r="C19" s="64">
        <v>0</v>
      </c>
      <c r="D19" s="64">
        <v>0</v>
      </c>
    </row>
    <row r="20" spans="1:4" x14ac:dyDescent="0.3">
      <c r="A20" s="34" t="s">
        <v>80</v>
      </c>
      <c r="B20" s="24">
        <f>B19</f>
        <v>0</v>
      </c>
      <c r="C20" s="24">
        <f t="shared" ref="C20:D20" si="2">C19</f>
        <v>0</v>
      </c>
      <c r="D20" s="24">
        <f t="shared" si="2"/>
        <v>0</v>
      </c>
    </row>
    <row r="21" spans="1:4" x14ac:dyDescent="0.3">
      <c r="A21" s="24"/>
      <c r="B21" s="24"/>
      <c r="C21" s="24"/>
      <c r="D21" s="24"/>
    </row>
    <row r="22" spans="1:4" x14ac:dyDescent="0.3">
      <c r="A22" s="69" t="s">
        <v>81</v>
      </c>
      <c r="B22" s="60">
        <f>B12+B16+B20</f>
        <v>763312.78082191781</v>
      </c>
      <c r="C22" s="60">
        <f t="shared" ref="C22:D22" si="3">C12+C16+C20</f>
        <v>1069766.6952054794</v>
      </c>
      <c r="D22" s="60">
        <f t="shared" si="3"/>
        <v>1452833.3690068491</v>
      </c>
    </row>
    <row r="23" spans="1:4" ht="15" thickBot="1" x14ac:dyDescent="0.35">
      <c r="A23" s="70" t="s">
        <v>82</v>
      </c>
      <c r="B23" s="71">
        <f>'Balance sheet '!B8</f>
        <v>1500000</v>
      </c>
      <c r="C23" s="71">
        <f>'Balance sheet '!C8</f>
        <v>2263312.780821918</v>
      </c>
      <c r="D23" s="71">
        <f>'Balance sheet '!D8</f>
        <v>3333079.476027397</v>
      </c>
    </row>
    <row r="24" spans="1:4" ht="15" thickBot="1" x14ac:dyDescent="0.35">
      <c r="A24" s="72" t="s">
        <v>83</v>
      </c>
      <c r="B24" s="58">
        <f>SUM(B22:B23)</f>
        <v>2263312.7808219176</v>
      </c>
      <c r="C24" s="58">
        <f t="shared" ref="C24:D24" si="4">SUM(C22:C23)</f>
        <v>3333079.4760273974</v>
      </c>
      <c r="D24" s="59">
        <f t="shared" si="4"/>
        <v>4785912.8450342463</v>
      </c>
    </row>
  </sheetData>
  <mergeCells count="5">
    <mergeCell ref="B5:B6"/>
    <mergeCell ref="C5:C6"/>
    <mergeCell ref="D5:D6"/>
    <mergeCell ref="A5:A6"/>
    <mergeCell ref="A1: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A545A-387F-4AE1-B78E-057214D5B253}">
  <sheetPr codeName="Sheet5"/>
  <dimension ref="A1:I36"/>
  <sheetViews>
    <sheetView tabSelected="1" topLeftCell="A12" workbookViewId="0">
      <selection activeCell="A25" sqref="A25"/>
    </sheetView>
  </sheetViews>
  <sheetFormatPr defaultRowHeight="14.4" x14ac:dyDescent="0.3"/>
  <cols>
    <col min="1" max="1" width="44.44140625" bestFit="1" customWidth="1"/>
    <col min="2" max="2" width="14.6640625" bestFit="1" customWidth="1"/>
    <col min="3" max="7" width="15.33203125" bestFit="1" customWidth="1"/>
  </cols>
  <sheetData>
    <row r="1" spans="1:7" ht="18" x14ac:dyDescent="0.35">
      <c r="A1" s="92" t="s">
        <v>84</v>
      </c>
      <c r="B1" s="92"/>
      <c r="C1" s="92"/>
      <c r="D1" s="92"/>
      <c r="E1" s="21"/>
      <c r="F1" s="21"/>
      <c r="G1" s="21"/>
    </row>
    <row r="2" spans="1:7" x14ac:dyDescent="0.3">
      <c r="A2" s="92"/>
      <c r="B2" s="92"/>
      <c r="C2" s="92"/>
      <c r="D2" s="92"/>
    </row>
    <row r="3" spans="1:7" x14ac:dyDescent="0.3">
      <c r="A3" s="92"/>
      <c r="B3" s="92"/>
      <c r="C3" s="92"/>
      <c r="D3" s="92"/>
    </row>
    <row r="4" spans="1:7" ht="15.6" x14ac:dyDescent="0.3">
      <c r="A4" s="22" t="s">
        <v>85</v>
      </c>
      <c r="B4" s="27"/>
      <c r="C4" s="28">
        <v>0.1</v>
      </c>
    </row>
    <row r="5" spans="1:7" ht="15.6" x14ac:dyDescent="0.3">
      <c r="A5" s="22" t="s">
        <v>86</v>
      </c>
      <c r="B5" s="27"/>
      <c r="C5" s="28">
        <v>0.03</v>
      </c>
    </row>
    <row r="6" spans="1:7" ht="15" thickBot="1" x14ac:dyDescent="0.35"/>
    <row r="7" spans="1:7" ht="16.2" thickBot="1" x14ac:dyDescent="0.35">
      <c r="A7" s="75" t="s">
        <v>87</v>
      </c>
      <c r="B7" s="77" t="s">
        <v>17</v>
      </c>
      <c r="C7" s="77" t="s">
        <v>18</v>
      </c>
      <c r="D7" s="76" t="s">
        <v>19</v>
      </c>
    </row>
    <row r="8" spans="1:7" x14ac:dyDescent="0.3">
      <c r="A8" s="70" t="s">
        <v>31</v>
      </c>
      <c r="B8" s="53">
        <f>'Income statement '!C18</f>
        <v>1112500</v>
      </c>
      <c r="C8" s="71">
        <f>'Income statement '!D18</f>
        <v>1565625</v>
      </c>
      <c r="D8" s="71">
        <f>'Income statement '!E18</f>
        <v>2132031.25</v>
      </c>
    </row>
    <row r="9" spans="1:7" x14ac:dyDescent="0.3">
      <c r="A9" s="64" t="s">
        <v>88</v>
      </c>
      <c r="B9" s="61">
        <f>-'DCF valuation '!B8*Assumptions!$E$13</f>
        <v>-278125</v>
      </c>
      <c r="C9" s="54">
        <f>-'DCF valuation '!C8*Assumptions!$E$13</f>
        <v>-391406.25</v>
      </c>
      <c r="D9" s="54">
        <f>-'DCF valuation '!D8*Assumptions!$E$13</f>
        <v>-533007.8125</v>
      </c>
    </row>
    <row r="10" spans="1:7" x14ac:dyDescent="0.3">
      <c r="A10" s="50" t="s">
        <v>89</v>
      </c>
      <c r="B10" s="51">
        <f>SUM(B8:B9)</f>
        <v>834375</v>
      </c>
      <c r="C10" s="51">
        <f t="shared" ref="C10:D10" si="0">SUM(C8:C9)</f>
        <v>1174218.75</v>
      </c>
      <c r="D10" s="51">
        <f t="shared" si="0"/>
        <v>1599023.4375</v>
      </c>
    </row>
    <row r="11" spans="1:7" x14ac:dyDescent="0.3">
      <c r="A11" s="55" t="s">
        <v>71</v>
      </c>
      <c r="B11" s="53">
        <f>'Income statement '!C17</f>
        <v>100000</v>
      </c>
      <c r="C11" s="53">
        <f>'Income statement '!D17</f>
        <v>100000</v>
      </c>
      <c r="D11" s="53">
        <f>'Income statement '!E17</f>
        <v>100000</v>
      </c>
    </row>
    <row r="12" spans="1:7" x14ac:dyDescent="0.3">
      <c r="A12" s="55" t="s">
        <v>90</v>
      </c>
      <c r="B12" s="53">
        <f>Cashflow!B10+Cashflow!B11</f>
        <v>-133562.21917808213</v>
      </c>
      <c r="C12" s="53">
        <f>Cashflow!C10+Cashflow!C11</f>
        <v>-166952.05479452055</v>
      </c>
      <c r="D12" s="53">
        <f>Cashflow!D10+Cashflow!D11</f>
        <v>-208690.06849315093</v>
      </c>
    </row>
    <row r="13" spans="1:7" ht="15" thickBot="1" x14ac:dyDescent="0.35">
      <c r="A13" s="55" t="s">
        <v>91</v>
      </c>
      <c r="B13" s="54">
        <v>0</v>
      </c>
      <c r="C13" s="54">
        <v>0</v>
      </c>
      <c r="D13" s="54">
        <v>0</v>
      </c>
    </row>
    <row r="14" spans="1:7" ht="15" thickBot="1" x14ac:dyDescent="0.35">
      <c r="A14" s="57" t="s">
        <v>92</v>
      </c>
      <c r="B14" s="58">
        <f>SUM(B10:B13)</f>
        <v>800812.78082191781</v>
      </c>
      <c r="C14" s="58">
        <f t="shared" ref="C14:D14" si="1">SUM(C10:C13)</f>
        <v>1107266.6952054794</v>
      </c>
      <c r="D14" s="59">
        <f t="shared" si="1"/>
        <v>1490333.3690068491</v>
      </c>
    </row>
    <row r="15" spans="1:7" x14ac:dyDescent="0.3">
      <c r="A15" s="56"/>
      <c r="B15" s="56"/>
      <c r="C15" s="56"/>
      <c r="D15" s="56"/>
    </row>
    <row r="16" spans="1:7" x14ac:dyDescent="0.3">
      <c r="A16" s="24" t="s">
        <v>93</v>
      </c>
      <c r="B16" s="24">
        <v>1</v>
      </c>
      <c r="C16" s="24">
        <v>2</v>
      </c>
      <c r="D16" s="24">
        <v>3</v>
      </c>
    </row>
    <row r="17" spans="1:9" ht="15" thickBot="1" x14ac:dyDescent="0.35">
      <c r="A17" s="65" t="s">
        <v>94</v>
      </c>
      <c r="B17" s="65">
        <f>1/(1+$C$4)^B16</f>
        <v>0.90909090909090906</v>
      </c>
      <c r="C17" s="65">
        <f t="shared" ref="C17:D17" si="2">1/(1+$C$4)^C16</f>
        <v>0.82644628099173545</v>
      </c>
      <c r="D17" s="65">
        <f t="shared" si="2"/>
        <v>0.75131480090157754</v>
      </c>
    </row>
    <row r="18" spans="1:9" ht="15" thickBot="1" x14ac:dyDescent="0.35">
      <c r="A18" s="57" t="s">
        <v>95</v>
      </c>
      <c r="B18" s="58">
        <f>B14*B17</f>
        <v>728011.61892901617</v>
      </c>
      <c r="C18" s="58">
        <f t="shared" ref="C18:D18" si="3">C14*C17</f>
        <v>915096.4423185779</v>
      </c>
      <c r="D18" s="59">
        <f t="shared" si="3"/>
        <v>1119709.5184123581</v>
      </c>
    </row>
    <row r="19" spans="1:9" ht="15" thickBot="1" x14ac:dyDescent="0.35"/>
    <row r="20" spans="1:9" ht="16.2" thickBot="1" x14ac:dyDescent="0.35">
      <c r="A20" s="75" t="s">
        <v>96</v>
      </c>
      <c r="B20" s="76" t="s">
        <v>65</v>
      </c>
    </row>
    <row r="21" spans="1:9" x14ac:dyDescent="0.3">
      <c r="A21" s="74" t="s">
        <v>97</v>
      </c>
      <c r="B21" s="66">
        <f>SUM(B18:D18)</f>
        <v>2762817.5796599523</v>
      </c>
    </row>
    <row r="22" spans="1:9" x14ac:dyDescent="0.3">
      <c r="A22" s="24" t="s">
        <v>98</v>
      </c>
      <c r="B22" s="23">
        <f>(D14*(1+C5))/(C4-C5)</f>
        <v>21929191.001100779</v>
      </c>
    </row>
    <row r="23" spans="1:9" x14ac:dyDescent="0.3">
      <c r="A23" s="24" t="s">
        <v>99</v>
      </c>
      <c r="B23" s="23">
        <f>D17*B22</f>
        <v>16475725.770924697</v>
      </c>
    </row>
    <row r="24" spans="1:9" ht="15" thickBot="1" x14ac:dyDescent="0.35">
      <c r="A24" s="65"/>
      <c r="B24" s="65"/>
    </row>
    <row r="25" spans="1:9" ht="15" thickBot="1" x14ac:dyDescent="0.35">
      <c r="A25" s="57" t="s">
        <v>100</v>
      </c>
      <c r="B25" s="59">
        <f>B21+B23</f>
        <v>19238543.350584649</v>
      </c>
    </row>
    <row r="26" spans="1:9" x14ac:dyDescent="0.3">
      <c r="A26" s="56" t="s">
        <v>101</v>
      </c>
      <c r="B26" s="66">
        <f>'Balance sheet '!B8</f>
        <v>1500000</v>
      </c>
    </row>
    <row r="27" spans="1:9" ht="15" thickBot="1" x14ac:dyDescent="0.35">
      <c r="A27" s="65" t="s">
        <v>102</v>
      </c>
      <c r="B27" s="60">
        <f>-'Balance sheet '!B25</f>
        <v>-625000</v>
      </c>
    </row>
    <row r="28" spans="1:9" ht="15" thickBot="1" x14ac:dyDescent="0.35">
      <c r="A28" s="57" t="s">
        <v>103</v>
      </c>
      <c r="B28" s="59">
        <f>SUM(B25:B27)</f>
        <v>20113543.350584649</v>
      </c>
      <c r="I28" s="26"/>
    </row>
    <row r="30" spans="1:9" ht="18" x14ac:dyDescent="0.3">
      <c r="A30" s="103" t="s">
        <v>104</v>
      </c>
      <c r="B30" s="104" t="s">
        <v>86</v>
      </c>
      <c r="C30" s="104"/>
      <c r="D30" s="104"/>
      <c r="E30" s="104"/>
      <c r="F30" s="104"/>
      <c r="G30" s="104"/>
    </row>
    <row r="31" spans="1:9" ht="15.6" x14ac:dyDescent="0.3">
      <c r="A31" s="103"/>
      <c r="B31" s="29">
        <f>B25</f>
        <v>19238543.350584649</v>
      </c>
      <c r="C31" s="30">
        <v>0.02</v>
      </c>
      <c r="D31" s="31">
        <v>2.5000000000000001E-2</v>
      </c>
      <c r="E31" s="30">
        <v>0.03</v>
      </c>
      <c r="F31" s="31">
        <v>3.5000000000000003E-2</v>
      </c>
      <c r="G31" s="30">
        <v>0.04</v>
      </c>
    </row>
    <row r="32" spans="1:9" ht="15.6" x14ac:dyDescent="0.3">
      <c r="A32" s="102" t="s">
        <v>85</v>
      </c>
      <c r="B32" s="30">
        <v>0.08</v>
      </c>
      <c r="C32" s="32">
        <f t="dataTable" ref="C32:G36" dt2D="1" dtr="1" r1="C5" r2="C4"/>
        <v>22986140.245148007</v>
      </c>
      <c r="D32" s="32">
        <v>24922080.627633933</v>
      </c>
      <c r="E32" s="32">
        <v>27245209.086617053</v>
      </c>
      <c r="F32" s="32">
        <v>30084588.314263087</v>
      </c>
      <c r="G32" s="33">
        <v>33633812.348820627</v>
      </c>
    </row>
    <row r="33" spans="1:7" ht="15.6" x14ac:dyDescent="0.3">
      <c r="A33" s="102"/>
      <c r="B33" s="30">
        <v>0.09</v>
      </c>
      <c r="C33" s="32">
        <v>19586423.134752303</v>
      </c>
      <c r="D33" s="32">
        <v>20964866.849027701</v>
      </c>
      <c r="E33" s="32">
        <v>22573051.182349008</v>
      </c>
      <c r="F33" s="32">
        <v>24473632.667183269</v>
      </c>
      <c r="G33" s="32">
        <v>26754330.448984388</v>
      </c>
    </row>
    <row r="34" spans="1:7" ht="15.6" x14ac:dyDescent="0.3">
      <c r="A34" s="102"/>
      <c r="B34" s="30">
        <v>0.1</v>
      </c>
      <c r="C34" s="32">
        <v>17039113.939417519</v>
      </c>
      <c r="D34" s="32">
        <v>18065514.331295509</v>
      </c>
      <c r="E34" s="32">
        <v>19238543.350584649</v>
      </c>
      <c r="F34" s="32">
        <v>20592038.372841347</v>
      </c>
      <c r="G34" s="32">
        <v>22171115.898807492</v>
      </c>
    </row>
    <row r="35" spans="1:7" ht="15.6" x14ac:dyDescent="0.3">
      <c r="A35" s="102"/>
      <c r="B35" s="30">
        <v>0.11</v>
      </c>
      <c r="C35" s="32">
        <v>15060002.059532067</v>
      </c>
      <c r="D35" s="32">
        <v>15850582.448615823</v>
      </c>
      <c r="E35" s="32">
        <v>16739985.386335054</v>
      </c>
      <c r="F35" s="32">
        <v>17747975.382416844</v>
      </c>
      <c r="G35" s="32">
        <v>18899963.94936746</v>
      </c>
    </row>
    <row r="36" spans="1:7" ht="15.6" x14ac:dyDescent="0.3">
      <c r="A36" s="102"/>
      <c r="B36" s="30">
        <v>0.12</v>
      </c>
      <c r="C36" s="33">
        <v>13478564.014504556</v>
      </c>
      <c r="D36" s="32">
        <v>14103871.718337314</v>
      </c>
      <c r="E36" s="32">
        <v>14798658.055929273</v>
      </c>
      <c r="F36" s="32">
        <v>15575183.962649696</v>
      </c>
      <c r="G36" s="32">
        <v>16448775.607710173</v>
      </c>
    </row>
  </sheetData>
  <mergeCells count="4">
    <mergeCell ref="A32:A36"/>
    <mergeCell ref="A30:A31"/>
    <mergeCell ref="A1:D3"/>
    <mergeCell ref="B30:G30"/>
  </mergeCells>
  <conditionalFormatting sqref="C32:G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b7b5138-9ca7-4c32-b23e-779e21f9577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051C5E93B3111428F61A92D38168E3F" ma:contentTypeVersion="5" ma:contentTypeDescription="Create a new document." ma:contentTypeScope="" ma:versionID="e98f92b4cef820588696f0edb7e549d2">
  <xsd:schema xmlns:xsd="http://www.w3.org/2001/XMLSchema" xmlns:xs="http://www.w3.org/2001/XMLSchema" xmlns:p="http://schemas.microsoft.com/office/2006/metadata/properties" xmlns:ns3="3b7b5138-9ca7-4c32-b23e-779e21f95771" targetNamespace="http://schemas.microsoft.com/office/2006/metadata/properties" ma:root="true" ma:fieldsID="dc51a20120548cde2d361a7f865cf147" ns3:_="">
    <xsd:import namespace="3b7b5138-9ca7-4c32-b23e-779e21f9577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7b5138-9ca7-4c32-b23e-779e21f9577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B85A0D1-A17F-4344-B8B1-9F302D0651DC}">
  <ds:schemaRefs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purl.org/dc/terms/"/>
    <ds:schemaRef ds:uri="http://purl.org/dc/dcmitype/"/>
    <ds:schemaRef ds:uri="http://schemas.openxmlformats.org/package/2006/metadata/core-properties"/>
    <ds:schemaRef ds:uri="3b7b5138-9ca7-4c32-b23e-779e21f95771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E3F17654-3FB2-47E7-8014-BBF1BE64E10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b7b5138-9ca7-4c32-b23e-779e21f9577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90029B3-5F80-4D72-B4AB-6B09424D57C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Income statement </vt:lpstr>
      <vt:lpstr>Balance sheet </vt:lpstr>
      <vt:lpstr>Cashflow</vt:lpstr>
      <vt:lpstr>DCF valuation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Omkar Singh</dc:creator>
  <cp:lastModifiedBy>MC252148 OMKAR SINGH</cp:lastModifiedBy>
  <dcterms:created xsi:type="dcterms:W3CDTF">2026-08-01T14:01:48Z</dcterms:created>
  <dcterms:modified xsi:type="dcterms:W3CDTF">2026-08-03T14:47:59Z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0x010100D051C5E93B3111428F61A92D38168E3F</vt:lpwstr>
  </property>
</Properties>
</file>