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2d628e8a33ccc6/Documents/Projects/"/>
    </mc:Choice>
  </mc:AlternateContent>
  <xr:revisionPtr revIDLastSave="0" documentId="8_{7BBE1520-33BD-4627-8A8A-320566F5EA28}" xr6:coauthVersionLast="47" xr6:coauthVersionMax="47" xr10:uidLastSave="{00000000-0000-0000-0000-000000000000}"/>
  <bookViews>
    <workbookView xWindow="-108" yWindow="-108" windowWidth="23256" windowHeight="12456" xr2:uid="{0FEBD4FF-AEF9-4C89-9E9B-4762ABA6D053}"/>
  </bookViews>
  <sheets>
    <sheet name="Sheet1" sheetId="1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" i="1" l="1"/>
  <c r="C14" i="1"/>
  <c r="E14" i="1"/>
  <c r="D14" i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<sst xmlns="http://schemas.openxmlformats.org/spreadsheetml/2006/main" count="37" uniqueCount="27">
  <si>
    <t>NEXGEN TECH PVT LTD - Q3 BUDGET VS ACTUAL REPORT</t>
  </si>
  <si>
    <t xml:space="preserve">Expense category </t>
  </si>
  <si>
    <t xml:space="preserve">Expense description. </t>
  </si>
  <si>
    <t xml:space="preserve">Budgeted amount (Rs.) </t>
  </si>
  <si>
    <t xml:space="preserve">Actual spent (Rs.) </t>
  </si>
  <si>
    <t>Variance (Rs.)</t>
  </si>
  <si>
    <t>% Variance</t>
  </si>
  <si>
    <t>Marketing</t>
  </si>
  <si>
    <t>Instagram &amp; Google Ads</t>
  </si>
  <si>
    <t>Influencer Outreach</t>
  </si>
  <si>
    <t>Technology</t>
  </si>
  <si>
    <t>Cloud Server (AWS)</t>
  </si>
  <si>
    <t>Software Subscriptions</t>
  </si>
  <si>
    <t>HR &amp; Admin</t>
  </si>
  <si>
    <t>Office Rent</t>
  </si>
  <si>
    <t>Team Snacks &amp; Coffee</t>
  </si>
  <si>
    <t>Operations</t>
  </si>
  <si>
    <t>Courier &amp; Logistics</t>
  </si>
  <si>
    <t>Vendor Payments</t>
  </si>
  <si>
    <t>Sales</t>
  </si>
  <si>
    <t>Client Meetings &amp; Travel</t>
  </si>
  <si>
    <t>Sales Commission</t>
  </si>
  <si>
    <t>TOTAL EXPENSES</t>
  </si>
  <si>
    <t>Row Labels</t>
  </si>
  <si>
    <t>Grand Total</t>
  </si>
  <si>
    <t xml:space="preserve">Sum of Budgeted amount (Rs.) </t>
  </si>
  <si>
    <t xml:space="preserve">Sum of Actual spent (Rs.)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</si>
</sst>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Consolas"/>
      <family val="3"/>
    </font>
    <font>
      <sz val="12"/>
      <color rgb="FF101010"/>
      <name val="Arial"/>
      <family val="2"/>
    </font>
    <font>
      <b/>
      <sz val="12"/>
      <color theme="1"/>
      <name val="Arial"/>
      <family val="2"/>
    </font>
    <font>
      <b/>
      <sz val="14"/>
      <color rgb="FF101010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0" fillId="0" borderId="1" xfId="0" applyBorder="1" applyAlignment="1">
      <alignment horizontal="left"/>
    </xf>
    <xf numFmtId="10" fontId="4" fillId="0" borderId="1" xfId="1" applyNumberFormat="1" applyFont="1" applyBorder="1"/>
    <xf numFmtId="164" fontId="3" fillId="3" borderId="2" xfId="0" applyNumberFormat="1" applyFont="1" applyFill="1" applyBorder="1" applyAlignment="1">
      <alignment horizontal="left" vertical="center" wrapText="1"/>
    </xf>
    <xf numFmtId="164" fontId="4" fillId="0" borderId="1" xfId="0" applyNumberFormat="1" applyFont="1" applyBorder="1"/>
    <xf numFmtId="164" fontId="3" fillId="3" borderId="1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0" fontId="7" fillId="0" borderId="1" xfId="1" applyNumberFormat="1" applyFont="1" applyBorder="1" applyAlignment="1">
      <alignment horizontal="left"/>
    </xf>
    <xf numFmtId="0" fontId="0" fillId="0" borderId="1" xfId="0" pivotButton="1" applyBorder="1"/>
    <xf numFmtId="164" fontId="0" fillId="0" borderId="1" xfId="0" applyNumberFormat="1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0C0C0"/>
      <color rgb="FFFFFF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Q3 Budget vs Actual Expenses</a:t>
            </a:r>
            <a:endParaRPr lang="en-IN" sz="1400" b="0" i="0" u="none" strike="noStrike" baseline="0">
              <a:solidFill>
                <a:srgbClr val="FF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Budgeted amount (Rs.)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Instagram &amp; Google Ads</c:v>
                </c:pt>
                <c:pt idx="1">
                  <c:v>Influencer Outreach</c:v>
                </c:pt>
                <c:pt idx="2">
                  <c:v>Cloud Server (AWS)</c:v>
                </c:pt>
                <c:pt idx="3">
                  <c:v>Software Subscriptions</c:v>
                </c:pt>
                <c:pt idx="4">
                  <c:v>Office Rent</c:v>
                </c:pt>
                <c:pt idx="5">
                  <c:v>Team Snacks &amp; Coffee</c:v>
                </c:pt>
                <c:pt idx="6">
                  <c:v>Courier &amp; Logistics</c:v>
                </c:pt>
                <c:pt idx="7">
                  <c:v>Vendor Payments</c:v>
                </c:pt>
                <c:pt idx="8">
                  <c:v>Client Meetings &amp; Travel</c:v>
                </c:pt>
                <c:pt idx="9">
                  <c:v>Sales Commission</c:v>
                </c:pt>
              </c:strCache>
            </c:strRef>
          </c:cat>
          <c:val>
            <c:numRef>
              <c:f>Sheet1!$C$4:$C$13</c:f>
              <c:numCache>
                <c:formatCode>"₹"\ #,##0</c:formatCode>
                <c:ptCount val="10"/>
                <c:pt idx="0">
                  <c:v>150000</c:v>
                </c:pt>
                <c:pt idx="1">
                  <c:v>80000</c:v>
                </c:pt>
                <c:pt idx="2">
                  <c:v>60000</c:v>
                </c:pt>
                <c:pt idx="3">
                  <c:v>35000</c:v>
                </c:pt>
                <c:pt idx="4">
                  <c:v>120000</c:v>
                </c:pt>
                <c:pt idx="5">
                  <c:v>15000</c:v>
                </c:pt>
                <c:pt idx="6">
                  <c:v>45000</c:v>
                </c:pt>
                <c:pt idx="7">
                  <c:v>90000</c:v>
                </c:pt>
                <c:pt idx="8">
                  <c:v>40000</c:v>
                </c:pt>
                <c:pt idx="9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6-440D-8E93-90409C1AD492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Actual spent (Rs.)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Instagram &amp; Google Ads</c:v>
                </c:pt>
                <c:pt idx="1">
                  <c:v>Influencer Outreach</c:v>
                </c:pt>
                <c:pt idx="2">
                  <c:v>Cloud Server (AWS)</c:v>
                </c:pt>
                <c:pt idx="3">
                  <c:v>Software Subscriptions</c:v>
                </c:pt>
                <c:pt idx="4">
                  <c:v>Office Rent</c:v>
                </c:pt>
                <c:pt idx="5">
                  <c:v>Team Snacks &amp; Coffee</c:v>
                </c:pt>
                <c:pt idx="6">
                  <c:v>Courier &amp; Logistics</c:v>
                </c:pt>
                <c:pt idx="7">
                  <c:v>Vendor Payments</c:v>
                </c:pt>
                <c:pt idx="8">
                  <c:v>Client Meetings &amp; Travel</c:v>
                </c:pt>
                <c:pt idx="9">
                  <c:v>Sales Commission</c:v>
                </c:pt>
              </c:strCache>
            </c:strRef>
          </c:cat>
          <c:val>
            <c:numRef>
              <c:f>Sheet1!$D$4:$D$13</c:f>
              <c:numCache>
                <c:formatCode>"₹"\ #,##0</c:formatCode>
                <c:ptCount val="10"/>
                <c:pt idx="0">
                  <c:v>185000</c:v>
                </c:pt>
                <c:pt idx="1">
                  <c:v>72000</c:v>
                </c:pt>
                <c:pt idx="2">
                  <c:v>65000</c:v>
                </c:pt>
                <c:pt idx="3">
                  <c:v>35000</c:v>
                </c:pt>
                <c:pt idx="4">
                  <c:v>120000</c:v>
                </c:pt>
                <c:pt idx="5">
                  <c:v>22000</c:v>
                </c:pt>
                <c:pt idx="6">
                  <c:v>38000</c:v>
                </c:pt>
                <c:pt idx="7">
                  <c:v>95000</c:v>
                </c:pt>
                <c:pt idx="8">
                  <c:v>48000</c:v>
                </c:pt>
                <c:pt idx="9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6-440D-8E93-90409C1A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668975"/>
        <c:axId val="328653135"/>
      </c:barChart>
      <c:catAx>
        <c:axId val="32866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53135"/>
        <c:crosses val="autoZero"/>
        <c:auto val="1"/>
        <c:lblAlgn val="ctr"/>
        <c:lblOffset val="100"/>
        <c:noMultiLvlLbl val="0"/>
      </c:catAx>
      <c:valAx>
        <c:axId val="3286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6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168615</xdr:rowOff>
    </xdr:from>
    <xdr:to>
      <xdr:col>5</xdr:col>
      <xdr:colOff>838200</xdr:colOff>
      <xdr:row>35</xdr:row>
      <xdr:rowOff>76774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92229-A1DA-BB9F-BD14-7C8223202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Singh" refreshedDate="46229.834615162035" createdVersion="8" refreshedVersion="8" minRefreshableVersion="3" recordCount="10" xr:uid="{78B6A1E3-78C0-41CC-9A03-4A0AC42DCD2B}">
  <cacheSource type="worksheet">
    <worksheetSource ref="A3:D13" sheet="Sheet1"/>
  </cacheSource>
  <cacheFields count="4">
    <cacheField name="Expense category " numFmtId="0">
      <sharedItems count="5">
        <s v="Marketing"/>
        <s v="Technology"/>
        <s v="HR &amp; Admin"/>
        <s v="Operations"/>
        <s v="Sales"/>
      </sharedItems>
    </cacheField>
    <cacheField name="Expense description. " numFmtId="0">
      <sharedItems count="10">
        <s v="Instagram &amp; Google Ads"/>
        <s v="Influencer Outreach"/>
        <s v="Cloud Server (AWS)"/>
        <s v="Software Subscriptions"/>
        <s v="Office Rent"/>
        <s v="Team Snacks &amp; Coffee"/>
        <s v="Courier &amp; Logistics"/>
        <s v="Vendor Payments"/>
        <s v="Client Meetings &amp; Travel"/>
        <s v="Sales Commission"/>
      </sharedItems>
    </cacheField>
    <cacheField name="Budgeted amount (Rs.) " numFmtId="164">
      <sharedItems containsSemiMixedTypes="0" containsString="0" containsNumber="1" containsInteger="1" minValue="15000" maxValue="150000" count="10">
        <n v="150000"/>
        <n v="80000"/>
        <n v="60000"/>
        <n v="35000"/>
        <n v="120000"/>
        <n v="15000"/>
        <n v="45000"/>
        <n v="90000"/>
        <n v="40000"/>
        <n v="70000"/>
      </sharedItems>
    </cacheField>
    <cacheField name="Actual spent (Rs.) " numFmtId="164">
      <sharedItems containsSemiMixedTypes="0" containsString="0" containsNumber="1" containsInteger="1" minValue="22000" maxValue="18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185000"/>
  </r>
  <r>
    <x v="0"/>
    <x v="1"/>
    <x v="1"/>
    <n v="72000"/>
  </r>
  <r>
    <x v="1"/>
    <x v="2"/>
    <x v="2"/>
    <n v="65000"/>
  </r>
  <r>
    <x v="1"/>
    <x v="3"/>
    <x v="3"/>
    <n v="35000"/>
  </r>
  <r>
    <x v="2"/>
    <x v="4"/>
    <x v="4"/>
    <n v="120000"/>
  </r>
  <r>
    <x v="2"/>
    <x v="5"/>
    <x v="5"/>
    <n v="22000"/>
  </r>
  <r>
    <x v="3"/>
    <x v="6"/>
    <x v="6"/>
    <n v="38000"/>
  </r>
  <r>
    <x v="3"/>
    <x v="7"/>
    <x v="7"/>
    <n v="95000"/>
  </r>
  <r>
    <x v="4"/>
    <x v="8"/>
    <x v="8"/>
    <n v="48000"/>
  </r>
  <r>
    <x v="4"/>
    <x v="9"/>
    <x v="9"/>
    <n v="6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34FEF-25C1-47B7-AAC3-E93E65FCB8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9" firstHeaderRow="0" firstDataRow="1" firstDataCol="1"/>
  <pivotFields count="4">
    <pivotField axis="axisRow" showAll="0">
      <items count="6">
        <item x="2"/>
        <item x="0"/>
        <item x="3"/>
        <item x="4"/>
        <item x="1"/>
        <item t="default"/>
      </items>
    </pivotField>
    <pivotField showAll="0">
      <items count="11">
        <item x="8"/>
        <item x="2"/>
        <item x="6"/>
        <item x="1"/>
        <item x="0"/>
        <item x="4"/>
        <item x="9"/>
        <item x="3"/>
        <item x="5"/>
        <item x="7"/>
        <item t="default"/>
      </items>
    </pivotField>
    <pivotField dataField="1" numFmtId="164"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ed amount (Rs.) " fld="2" baseField="0" baseItem="0" numFmtId="164"/>
    <dataField name="Sum of Actual spent (Rs.) " fld="3" baseField="0" baseItem="0" numFmtId="164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/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FA04-68DF-4035-89C2-21C02412A51A}">
  <dimension ref="A1:J14"/>
  <sheetViews>
    <sheetView tabSelected="1" topLeftCell="C1" zoomScale="77" workbookViewId="0">
      <selection activeCell="I18" sqref="I18"/>
    </sheetView>
  </sheetViews>
  <sheetFormatPr defaultRowHeight="14.4" x14ac:dyDescent="0.3"/>
  <cols>
    <col min="1" max="1" width="20.6640625" bestFit="1" customWidth="1"/>
    <col min="2" max="2" width="25.33203125" bestFit="1" customWidth="1"/>
    <col min="3" max="3" width="26.44140625" bestFit="1" customWidth="1"/>
    <col min="4" max="4" width="20.6640625" bestFit="1" customWidth="1"/>
    <col min="5" max="5" width="15.88671875" bestFit="1" customWidth="1"/>
    <col min="6" max="6" width="12.6640625" bestFit="1" customWidth="1"/>
    <col min="8" max="8" width="13" bestFit="1" customWidth="1"/>
    <col min="9" max="9" width="27.44140625" bestFit="1" customWidth="1"/>
    <col min="10" max="10" width="22.88671875" bestFit="1" customWidth="1"/>
  </cols>
  <sheetData>
    <row r="1" spans="1:10" ht="18" x14ac:dyDescent="0.35">
      <c r="A1" s="17" t="s">
        <v>0</v>
      </c>
      <c r="B1" s="17"/>
      <c r="C1" s="17"/>
      <c r="D1" s="17"/>
      <c r="E1" s="17"/>
      <c r="F1" s="17"/>
      <c r="G1" s="2"/>
      <c r="H1" s="1"/>
    </row>
    <row r="2" spans="1:10" x14ac:dyDescent="0.3">
      <c r="A2" s="18"/>
      <c r="B2" s="18"/>
      <c r="C2" s="18"/>
      <c r="D2" s="18"/>
      <c r="E2" s="18"/>
      <c r="F2" s="18"/>
    </row>
    <row r="3" spans="1:10" ht="15.6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H3" s="15" t="s">
        <v>23</v>
      </c>
      <c r="I3" s="3" t="s">
        <v>25</v>
      </c>
      <c r="J3" s="3" t="s">
        <v>26</v>
      </c>
    </row>
    <row r="4" spans="1:10" ht="30" x14ac:dyDescent="0.3">
      <c r="A4" s="5" t="s">
        <v>7</v>
      </c>
      <c r="B4" s="5" t="s">
        <v>8</v>
      </c>
      <c r="C4" s="9">
        <v>150000</v>
      </c>
      <c r="D4" s="9">
        <v>185000</v>
      </c>
      <c r="E4" s="10">
        <f>D4-C4</f>
        <v>35000</v>
      </c>
      <c r="F4" s="8">
        <f>(D4-C4)/C4</f>
        <v>0.23333333333333334</v>
      </c>
      <c r="H4" s="7" t="s">
        <v>13</v>
      </c>
      <c r="I4" s="16">
        <v>135000</v>
      </c>
      <c r="J4" s="16">
        <v>142000</v>
      </c>
    </row>
    <row r="5" spans="1:10" ht="15.6" x14ac:dyDescent="0.3">
      <c r="A5" s="4" t="s">
        <v>7</v>
      </c>
      <c r="B5" s="4" t="s">
        <v>9</v>
      </c>
      <c r="C5" s="11">
        <v>80000</v>
      </c>
      <c r="D5" s="11">
        <v>72000</v>
      </c>
      <c r="E5" s="10">
        <f t="shared" ref="E5:E13" si="0">D5-C5</f>
        <v>-8000</v>
      </c>
      <c r="F5" s="8">
        <f t="shared" ref="F5:F14" si="1">(D5-C5)/C5</f>
        <v>-0.1</v>
      </c>
      <c r="H5" s="7" t="s">
        <v>7</v>
      </c>
      <c r="I5" s="16">
        <v>230000</v>
      </c>
      <c r="J5" s="16">
        <v>257000</v>
      </c>
    </row>
    <row r="6" spans="1:10" ht="15.6" x14ac:dyDescent="0.3">
      <c r="A6" s="4" t="s">
        <v>10</v>
      </c>
      <c r="B6" s="4" t="s">
        <v>11</v>
      </c>
      <c r="C6" s="11">
        <v>60000</v>
      </c>
      <c r="D6" s="11">
        <v>65000</v>
      </c>
      <c r="E6" s="10">
        <f t="shared" si="0"/>
        <v>5000</v>
      </c>
      <c r="F6" s="8">
        <f t="shared" si="1"/>
        <v>8.3333333333333329E-2</v>
      </c>
      <c r="H6" s="7" t="s">
        <v>16</v>
      </c>
      <c r="I6" s="16">
        <v>135000</v>
      </c>
      <c r="J6" s="16">
        <v>133000</v>
      </c>
    </row>
    <row r="7" spans="1:10" ht="15.6" x14ac:dyDescent="0.3">
      <c r="A7" s="4" t="s">
        <v>10</v>
      </c>
      <c r="B7" s="4" t="s">
        <v>12</v>
      </c>
      <c r="C7" s="11">
        <v>35000</v>
      </c>
      <c r="D7" s="11">
        <v>35000</v>
      </c>
      <c r="E7" s="10">
        <f t="shared" si="0"/>
        <v>0</v>
      </c>
      <c r="F7" s="8">
        <f t="shared" si="1"/>
        <v>0</v>
      </c>
      <c r="H7" s="7" t="s">
        <v>19</v>
      </c>
      <c r="I7" s="16">
        <v>110000</v>
      </c>
      <c r="J7" s="16">
        <v>113000</v>
      </c>
    </row>
    <row r="8" spans="1:10" ht="15.6" x14ac:dyDescent="0.3">
      <c r="A8" s="4" t="s">
        <v>13</v>
      </c>
      <c r="B8" s="4" t="s">
        <v>14</v>
      </c>
      <c r="C8" s="11">
        <v>120000</v>
      </c>
      <c r="D8" s="11">
        <v>120000</v>
      </c>
      <c r="E8" s="10">
        <f t="shared" si="0"/>
        <v>0</v>
      </c>
      <c r="F8" s="8">
        <f t="shared" si="1"/>
        <v>0</v>
      </c>
      <c r="H8" s="7" t="s">
        <v>10</v>
      </c>
      <c r="I8" s="16">
        <v>95000</v>
      </c>
      <c r="J8" s="16">
        <v>100000</v>
      </c>
    </row>
    <row r="9" spans="1:10" ht="15.6" x14ac:dyDescent="0.3">
      <c r="A9" s="4" t="s">
        <v>13</v>
      </c>
      <c r="B9" s="4" t="s">
        <v>15</v>
      </c>
      <c r="C9" s="11">
        <v>15000</v>
      </c>
      <c r="D9" s="11">
        <v>22000</v>
      </c>
      <c r="E9" s="10">
        <f t="shared" si="0"/>
        <v>7000</v>
      </c>
      <c r="F9" s="8">
        <f t="shared" si="1"/>
        <v>0.46666666666666667</v>
      </c>
      <c r="H9" s="7" t="s">
        <v>24</v>
      </c>
      <c r="I9" s="16">
        <v>705000</v>
      </c>
      <c r="J9" s="16">
        <v>745000</v>
      </c>
    </row>
    <row r="10" spans="1:10" ht="15.6" x14ac:dyDescent="0.3">
      <c r="A10" s="4" t="s">
        <v>16</v>
      </c>
      <c r="B10" s="4" t="s">
        <v>17</v>
      </c>
      <c r="C10" s="11">
        <v>45000</v>
      </c>
      <c r="D10" s="11">
        <v>38000</v>
      </c>
      <c r="E10" s="10">
        <f t="shared" si="0"/>
        <v>-7000</v>
      </c>
      <c r="F10" s="8">
        <f t="shared" si="1"/>
        <v>-0.15555555555555556</v>
      </c>
    </row>
    <row r="11" spans="1:10" ht="15.6" x14ac:dyDescent="0.3">
      <c r="A11" s="4" t="s">
        <v>16</v>
      </c>
      <c r="B11" s="4" t="s">
        <v>18</v>
      </c>
      <c r="C11" s="11">
        <v>90000</v>
      </c>
      <c r="D11" s="11">
        <v>95000</v>
      </c>
      <c r="E11" s="10">
        <f t="shared" si="0"/>
        <v>5000</v>
      </c>
      <c r="F11" s="8">
        <f t="shared" si="1"/>
        <v>5.5555555555555552E-2</v>
      </c>
    </row>
    <row r="12" spans="1:10" ht="15.6" x14ac:dyDescent="0.3">
      <c r="A12" s="4" t="s">
        <v>19</v>
      </c>
      <c r="B12" s="4" t="s">
        <v>20</v>
      </c>
      <c r="C12" s="11">
        <v>40000</v>
      </c>
      <c r="D12" s="11">
        <v>48000</v>
      </c>
      <c r="E12" s="10">
        <f t="shared" si="0"/>
        <v>8000</v>
      </c>
      <c r="F12" s="8">
        <f t="shared" si="1"/>
        <v>0.2</v>
      </c>
    </row>
    <row r="13" spans="1:10" ht="15.6" x14ac:dyDescent="0.3">
      <c r="A13" s="4" t="s">
        <v>19</v>
      </c>
      <c r="B13" s="4" t="s">
        <v>21</v>
      </c>
      <c r="C13" s="11">
        <v>70000</v>
      </c>
      <c r="D13" s="11">
        <v>65000</v>
      </c>
      <c r="E13" s="10">
        <f t="shared" si="0"/>
        <v>-5000</v>
      </c>
      <c r="F13" s="8">
        <f t="shared" si="1"/>
        <v>-7.1428571428571425E-2</v>
      </c>
    </row>
    <row r="14" spans="1:10" ht="18" x14ac:dyDescent="0.35">
      <c r="A14" s="19" t="s">
        <v>22</v>
      </c>
      <c r="B14" s="19"/>
      <c r="C14" s="12">
        <f>SUM(C4:C13)</f>
        <v>705000</v>
      </c>
      <c r="D14" s="12">
        <f>SUM(D4:D13)</f>
        <v>745000</v>
      </c>
      <c r="E14" s="13">
        <f>SUM(E4:E13)</f>
        <v>40000</v>
      </c>
      <c r="F14" s="14">
        <f t="shared" si="1"/>
        <v>5.6737588652482268E-2</v>
      </c>
    </row>
  </sheetData>
  <mergeCells count="3">
    <mergeCell ref="A1:F1"/>
    <mergeCell ref="A2:F2"/>
    <mergeCell ref="A14:B14"/>
  </mergeCells>
  <conditionalFormatting sqref="F4:F13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51C5E93B3111428F61A92D38168E3F" ma:contentTypeVersion="4" ma:contentTypeDescription="Create a new document." ma:contentTypeScope="" ma:versionID="49aad028abbe595ed147a7b4f311c1d6">
  <xsd:schema xmlns:xsd="http://www.w3.org/2001/XMLSchema" xmlns:xs="http://www.w3.org/2001/XMLSchema" xmlns:p="http://schemas.microsoft.com/office/2006/metadata/properties" xmlns:ns3="3b7b5138-9ca7-4c32-b23e-779e21f95771" targetNamespace="http://schemas.microsoft.com/office/2006/metadata/properties" ma:root="true" ma:fieldsID="e8273f2287a88c261daf2fb832c9a005" ns3:_="">
    <xsd:import namespace="3b7b5138-9ca7-4c32-b23e-779e21f9577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b5138-9ca7-4c32-b23e-779e21f9577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C1468F-6CD9-45FF-AEBF-0DCB11221EA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b7b5138-9ca7-4c32-b23e-779e21f9577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F3576-98CE-49EB-A727-99377379D0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806802-BFA3-42E9-876A-C603A42FC204}">
  <ds:schemaRefs>
    <ds:schemaRef ds:uri="3b7b5138-9ca7-4c32-b23e-779e21f95771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MC252148 OMKAR SINGH</dc:creator>
  <cp:lastModifiedBy>MC252148 OMKAR SINGH</cp:lastModifiedBy>
  <dcterms:created xsi:type="dcterms:W3CDTF">2026-07-26T13:48:54Z</dcterms:created>
  <dcterms:modified xsi:type="dcterms:W3CDTF">2026-07-27T15:36:28Z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0x010100D051C5E93B3111428F61A92D38168E3F</vt:lpwstr>
  </property>
</Properties>
</file>