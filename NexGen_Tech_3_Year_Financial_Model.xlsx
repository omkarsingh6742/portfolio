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2d628e8a33ccc6/Documents/Projects/"/>
    </mc:Choice>
  </mc:AlternateContent>
  <xr:revisionPtr revIDLastSave="0" documentId="8_{017AE41E-2AA9-4170-8A34-6A6B6BD90768}" xr6:coauthVersionLast="47" xr6:coauthVersionMax="47" xr10:uidLastSave="{00000000-0000-0000-0000-000000000000}"/>
  <bookViews>
    <workbookView xWindow="-108" yWindow="-108" windowWidth="23256" windowHeight="12456" xr2:uid="{A35E1EFC-E7D2-4244-B9C6-69BD6C11D796}"/>
  </bookViews>
  <sheets>
    <sheet name="Assumptions" sheetId="1" r:id="rId1"/>
    <sheet name="Income statement " sheetId="2" r:id="rId2"/>
    <sheet name="Balance sheet " sheetId="3" r:id="rId3"/>
    <sheet name="Cashflow" sheetId="4" r:id="rId4"/>
    <sheet name="DCF valuation 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9" i="3" l="1"/>
  <c r="D25" i="3"/>
  <c r="D24" i="3"/>
  <c r="E24" i="3" s="1"/>
  <c r="E25" i="3" s="1"/>
  <c r="D12" i="3"/>
  <c r="E12" i="3" s="1"/>
  <c r="C12" i="3"/>
  <c r="C29" i="3"/>
  <c r="C25" i="3"/>
  <c r="B25" i="3"/>
  <c r="C24" i="3"/>
  <c r="B31" i="3"/>
  <c r="B21" i="3"/>
  <c r="B26" i="3" s="1"/>
  <c r="B32" i="3" s="1"/>
  <c r="B14" i="3"/>
  <c r="B15" i="3" s="1"/>
  <c r="B9" i="3"/>
  <c r="B16" i="3" s="1"/>
  <c r="E16" i="1"/>
  <c r="E17" i="1"/>
  <c r="E15" i="1"/>
  <c r="E14" i="1"/>
  <c r="B15" i="2"/>
  <c r="B9" i="2"/>
  <c r="E8" i="1"/>
  <c r="E9" i="1"/>
  <c r="E10" i="1"/>
  <c r="E11" i="1"/>
  <c r="E12" i="1"/>
  <c r="E14" i="2" s="1"/>
  <c r="E13" i="1"/>
  <c r="E7" i="1"/>
  <c r="C7" i="2" s="1"/>
  <c r="C8" i="3" s="1"/>
  <c r="E19" i="2" l="1"/>
  <c r="E29" i="3"/>
  <c r="E17" i="2"/>
  <c r="C14" i="2"/>
  <c r="C11" i="2"/>
  <c r="C13" i="2"/>
  <c r="D7" i="2"/>
  <c r="D8" i="3" s="1"/>
  <c r="C8" i="2"/>
  <c r="C12" i="2"/>
  <c r="C17" i="2"/>
  <c r="C13" i="3" s="1"/>
  <c r="C19" i="2"/>
  <c r="D17" i="2"/>
  <c r="D19" i="2"/>
  <c r="D14" i="2"/>
  <c r="B16" i="2"/>
  <c r="B18" i="2" s="1"/>
  <c r="B20" i="2" s="1"/>
  <c r="B21" i="2" s="1"/>
  <c r="B22" i="2" s="1"/>
  <c r="C14" i="3" l="1"/>
  <c r="C15" i="3" s="1"/>
  <c r="D13" i="3"/>
  <c r="C9" i="2"/>
  <c r="C20" i="3"/>
  <c r="C21" i="3" s="1"/>
  <c r="C26" i="3" s="1"/>
  <c r="D13" i="2"/>
  <c r="D11" i="2"/>
  <c r="D12" i="2"/>
  <c r="D8" i="2"/>
  <c r="E7" i="2"/>
  <c r="C15" i="2"/>
  <c r="C16" i="2" s="1"/>
  <c r="C18" i="2" s="1"/>
  <c r="C20" i="2" s="1"/>
  <c r="C21" i="2" s="1"/>
  <c r="C22" i="2" s="1"/>
  <c r="C30" i="3" s="1"/>
  <c r="E8" i="2" l="1"/>
  <c r="E8" i="3"/>
  <c r="D9" i="2"/>
  <c r="D20" i="3"/>
  <c r="D21" i="3" s="1"/>
  <c r="D26" i="3" s="1"/>
  <c r="C31" i="3"/>
  <c r="C32" i="3" s="1"/>
  <c r="C7" i="3" s="1"/>
  <c r="C9" i="3" s="1"/>
  <c r="C16" i="3" s="1"/>
  <c r="E13" i="3"/>
  <c r="E14" i="3" s="1"/>
  <c r="E15" i="3" s="1"/>
  <c r="D14" i="3"/>
  <c r="D15" i="3" s="1"/>
  <c r="D15" i="2"/>
  <c r="E13" i="2"/>
  <c r="E12" i="2"/>
  <c r="E11" i="2"/>
  <c r="D16" i="2" l="1"/>
  <c r="D18" i="2" s="1"/>
  <c r="D20" i="2" s="1"/>
  <c r="D21" i="2" s="1"/>
  <c r="D22" i="2" s="1"/>
  <c r="D30" i="3" s="1"/>
  <c r="D31" i="3" s="1"/>
  <c r="D32" i="3" s="1"/>
  <c r="E9" i="2"/>
  <c r="E20" i="3"/>
  <c r="E21" i="3" s="1"/>
  <c r="E26" i="3" s="1"/>
  <c r="E15" i="2"/>
  <c r="E16" i="2" s="1"/>
  <c r="E18" i="2" s="1"/>
  <c r="E20" i="2" s="1"/>
  <c r="E21" i="2" s="1"/>
  <c r="E22" i="2" s="1"/>
  <c r="E30" i="3" s="1"/>
  <c r="E31" i="3" s="1"/>
  <c r="E32" i="3" s="1"/>
  <c r="E7" i="3" s="1"/>
  <c r="E9" i="3" s="1"/>
  <c r="E16" i="3" s="1"/>
  <c r="D7" i="3" l="1"/>
  <c r="D9" i="3" s="1"/>
  <c r="D16" i="3" s="1"/>
</calcChain>
</file>

<file path=xl/sharedStrings.xml><?xml version="1.0" encoding="utf-8"?>
<sst xmlns="http://schemas.openxmlformats.org/spreadsheetml/2006/main" count="74" uniqueCount="67">
  <si>
    <t>NEXGEN TECH PVT LTD — MODEL ASSUMPTIONS &amp; DRIVERS</t>
  </si>
  <si>
    <t>Active Scenario Switch (1=Base, 2=Bull, 3=Bear):</t>
  </si>
  <si>
    <t>DRIVER CATEGORY</t>
  </si>
  <si>
    <t>Base</t>
  </si>
  <si>
    <t>Bull</t>
  </si>
  <si>
    <t>Bear</t>
  </si>
  <si>
    <t>Active Value</t>
  </si>
  <si>
    <t>Annual Revenue Growth Rate</t>
  </si>
  <si>
    <t>COGS (% of Revenue)</t>
  </si>
  <si>
    <t>Marketing Expense (% of Revenue)</t>
  </si>
  <si>
    <t>Tech &amp; Ops Expense (% of Revenue)</t>
  </si>
  <si>
    <t>Sales Expense (% of Revenue)</t>
  </si>
  <si>
    <t>HR &amp; Admin (Fixed Annual Cost)</t>
  </si>
  <si>
    <t>Income Tax Rate</t>
  </si>
  <si>
    <t>Depreciation Rate (% of PP&amp;E)</t>
  </si>
  <si>
    <t>NEXGEN TECH PVT LTD — PRO FORMA INCOME STATEMENT</t>
  </si>
  <si>
    <t>2026 (Base)</t>
  </si>
  <si>
    <t>2027 (Fcst)</t>
  </si>
  <si>
    <t>2028 (Fcst)</t>
  </si>
  <si>
    <t>2029 (Fcst)</t>
  </si>
  <si>
    <t>Gross Revenue</t>
  </si>
  <si>
    <t>Cost of Goods Sold (COGS)</t>
  </si>
  <si>
    <t>Gross Profit</t>
  </si>
  <si>
    <t>OPERATING EXPENSES:</t>
  </si>
  <si>
    <t>Marketing Expense</t>
  </si>
  <si>
    <t>Tech &amp; Ops Expense</t>
  </si>
  <si>
    <t>Sales Expense</t>
  </si>
  <si>
    <t>HR &amp; Admin Expense (Fixed)</t>
  </si>
  <si>
    <t>Total Operating Expenses</t>
  </si>
  <si>
    <t>EBITDA</t>
  </si>
  <si>
    <t>Less: Depreciation</t>
  </si>
  <si>
    <t>EBIT (Operating Profit)</t>
  </si>
  <si>
    <t>Less: Interest Expense</t>
  </si>
  <si>
    <t>EBT (Pre-Tax Profit)</t>
  </si>
  <si>
    <t>Less: Income Tax</t>
  </si>
  <si>
    <t>NET INCOME (Profit After Tax)</t>
  </si>
  <si>
    <t>FINANCIAL  LINE  ITEM</t>
  </si>
  <si>
    <t>Starting Property, Plant &amp; Equipment (PP&amp;E)</t>
  </si>
  <si>
    <t>Starting Long-Term Debt</t>
  </si>
  <si>
    <t>Interest Rate on Debt</t>
  </si>
  <si>
    <t>NEXGEN TECH PVT LTD — PRO FORMA BALANCE SHEET</t>
  </si>
  <si>
    <t>BALANCE SHEET LINE ITEM</t>
  </si>
  <si>
    <t>ASSETS</t>
  </si>
  <si>
    <t>Current Assets:</t>
  </si>
  <si>
    <t>Cash &amp; Cash Equivalents</t>
  </si>
  <si>
    <t>Accounts Receivable (AR)</t>
  </si>
  <si>
    <t>TOTAL CURRENT ASSETS</t>
  </si>
  <si>
    <t>Non-Current Assets:</t>
  </si>
  <si>
    <t>Property, Plant &amp; Equipment (PP&amp;E)</t>
  </si>
  <si>
    <t>Less: Accumulated Depreciation</t>
  </si>
  <si>
    <t>NET PP&amp;E</t>
  </si>
  <si>
    <t>TOTAL ASSETS</t>
  </si>
  <si>
    <t>LIABILITIES &amp; EQUITY</t>
  </si>
  <si>
    <t>Current Liabilities:</t>
  </si>
  <si>
    <t>Accounts Payable (AP)</t>
  </si>
  <si>
    <t>TOTAL CURRENT LIABILITIES</t>
  </si>
  <si>
    <t>Non-Current Liabilities:</t>
  </si>
  <si>
    <t>Long-Term Debt</t>
  </si>
  <si>
    <t>TOTAL LIABILITIES</t>
  </si>
  <si>
    <t>Shareholders' Equity:</t>
  </si>
  <si>
    <t>Common Stock / Share Capital</t>
  </si>
  <si>
    <t>Retained Earnings</t>
  </si>
  <si>
    <t>TOTAL SHAREHOLDERS' EQUITY</t>
  </si>
  <si>
    <t>TOTAL LIABILITIES &amp; EQUITY</t>
  </si>
  <si>
    <t xml:space="preserve">	TOTAL NON-CURRENT ASSETS</t>
  </si>
  <si>
    <t>AMOUNT(Rs.)</t>
  </si>
  <si>
    <t>TOTAL NON-CURRENT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</si>
</sst>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₹&quot;\ #,##0;&quot;₹&quot;\ \-#,##0"/>
    <numFmt numFmtId="44" formatCode="_ &quot;₹&quot;\ * #,##0.00_ ;_ &quot;₹&quot;\ * \-#,##0.00_ ;_ &quot;₹&quot;\ * &quot;-&quot;??_ ;_ @_ 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onsolas"/>
      <family val="3"/>
    </font>
    <font>
      <b/>
      <sz val="11"/>
      <color rgb="FF0070C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101010"/>
      <name val="Arial"/>
      <family val="2"/>
    </font>
    <font>
      <b/>
      <sz val="12"/>
      <color theme="1"/>
      <name val="Segoe UI"/>
      <family val="2"/>
    </font>
    <font>
      <b/>
      <sz val="14"/>
      <color theme="1"/>
      <name val="Consolas"/>
      <family val="3"/>
    </font>
    <font>
      <b/>
      <sz val="12"/>
      <color theme="1"/>
      <name val="Aptos Narrow"/>
      <family val="2"/>
      <scheme val="minor"/>
    </font>
    <font>
      <sz val="14"/>
      <color theme="1"/>
      <name val="Aptos Display"/>
      <family val="2"/>
      <scheme val="major"/>
    </font>
    <font>
      <sz val="1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b/>
      <sz val="16"/>
      <color theme="1"/>
      <name val="Aptos Display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4" fillId="2" borderId="0" xfId="0" applyFont="1" applyFill="1"/>
    <xf numFmtId="0" fontId="3" fillId="0" borderId="0" xfId="0" applyFont="1" applyAlignme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0" xfId="0" applyFont="1"/>
    <xf numFmtId="0" fontId="9" fillId="0" borderId="0" xfId="0" applyFont="1"/>
    <xf numFmtId="5" fontId="5" fillId="0" borderId="0" xfId="1" applyNumberFormat="1" applyFont="1"/>
    <xf numFmtId="5" fontId="9" fillId="0" borderId="0" xfId="1" applyNumberFormat="1" applyFont="1"/>
    <xf numFmtId="5" fontId="11" fillId="0" borderId="0" xfId="1" applyNumberFormat="1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9" fontId="10" fillId="0" borderId="0" xfId="2" applyFont="1" applyAlignment="1"/>
    <xf numFmtId="0" fontId="9" fillId="2" borderId="0" xfId="0" applyFont="1" applyFill="1"/>
    <xf numFmtId="5" fontId="9" fillId="2" borderId="0" xfId="1" applyNumberFormat="1" applyFont="1" applyFill="1"/>
    <xf numFmtId="5" fontId="0" fillId="0" borderId="0" xfId="0" applyNumberFormat="1"/>
    <xf numFmtId="5" fontId="2" fillId="2" borderId="0" xfId="0" applyNumberFormat="1" applyFont="1" applyFill="1"/>
    <xf numFmtId="5" fontId="2" fillId="0" borderId="0" xfId="0" applyNumberFormat="1" applyFont="1"/>
    <xf numFmtId="0" fontId="12" fillId="4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0" fontId="14" fillId="4" borderId="0" xfId="0" applyFont="1" applyFill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9" fontId="11" fillId="3" borderId="1" xfId="0" applyNumberFormat="1" applyFont="1" applyFill="1" applyBorder="1" applyAlignment="1">
      <alignment horizontal="center" vertical="center" wrapText="1"/>
    </xf>
    <xf numFmtId="9" fontId="11" fillId="0" borderId="1" xfId="2" applyNumberFormat="1" applyFont="1" applyBorder="1" applyAlignment="1">
      <alignment horizontal="center"/>
    </xf>
    <xf numFmtId="5" fontId="11" fillId="3" borderId="1" xfId="1" applyNumberFormat="1" applyFont="1" applyFill="1" applyBorder="1" applyAlignment="1">
      <alignment horizontal="center" vertical="center" wrapText="1"/>
    </xf>
    <xf numFmtId="5" fontId="11" fillId="0" borderId="1" xfId="1" applyNumberFormat="1" applyFont="1" applyBorder="1" applyAlignment="1">
      <alignment horizontal="center" vertical="center"/>
    </xf>
    <xf numFmtId="0" fontId="11" fillId="0" borderId="1" xfId="0" applyFont="1" applyBorder="1"/>
    <xf numFmtId="5" fontId="11" fillId="0" borderId="1" xfId="1" applyNumberFormat="1" applyFont="1" applyBorder="1" applyAlignment="1">
      <alignment horizontal="center"/>
    </xf>
    <xf numFmtId="0" fontId="5" fillId="0" borderId="1" xfId="0" applyFont="1" applyBorder="1"/>
    <xf numFmtId="5" fontId="5" fillId="0" borderId="1" xfId="1" applyNumberFormat="1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9" fontId="5" fillId="0" borderId="1" xfId="2" applyFont="1" applyBorder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5" fontId="11" fillId="3" borderId="1" xfId="1" applyNumberFormat="1" applyFont="1" applyFill="1" applyBorder="1" applyAlignment="1">
      <alignment horizontal="center"/>
    </xf>
    <xf numFmtId="5" fontId="5" fillId="3" borderId="1" xfId="1" applyNumberFormat="1" applyFont="1" applyFill="1" applyBorder="1" applyAlignment="1">
      <alignment horizontal="center"/>
    </xf>
    <xf numFmtId="9" fontId="5" fillId="3" borderId="1" xfId="0" applyNumberFormat="1" applyFont="1" applyFill="1" applyBorder="1" applyAlignment="1">
      <alignment horizontal="center"/>
    </xf>
    <xf numFmtId="9" fontId="15" fillId="0" borderId="0" xfId="2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0D454-D7FA-4565-B820-209BBC74B17F}">
  <dimension ref="A1:E17"/>
  <sheetViews>
    <sheetView tabSelected="1" workbookViewId="0">
      <selection activeCell="C4" sqref="C4"/>
    </sheetView>
  </sheetViews>
  <sheetFormatPr defaultRowHeight="14.4" x14ac:dyDescent="0.3"/>
  <cols>
    <col min="1" max="1" width="62.21875" bestFit="1" customWidth="1"/>
    <col min="2" max="3" width="17.77734375" customWidth="1"/>
    <col min="4" max="5" width="17.88671875" bestFit="1" customWidth="1"/>
  </cols>
  <sheetData>
    <row r="1" spans="1:5" ht="15.6" customHeight="1" x14ac:dyDescent="0.3">
      <c r="A1" s="4" t="s">
        <v>0</v>
      </c>
      <c r="B1" s="4"/>
    </row>
    <row r="2" spans="1:5" ht="14.4" customHeight="1" x14ac:dyDescent="0.3">
      <c r="A2" s="4"/>
      <c r="B2" s="4"/>
    </row>
    <row r="3" spans="1:5" ht="14.4" customHeight="1" x14ac:dyDescent="0.3">
      <c r="A3" s="2"/>
      <c r="B3" s="2"/>
    </row>
    <row r="4" spans="1:5" ht="19.2" customHeight="1" x14ac:dyDescent="0.45">
      <c r="A4" s="3" t="s">
        <v>1</v>
      </c>
      <c r="B4" s="3"/>
      <c r="C4" s="1">
        <v>1</v>
      </c>
    </row>
    <row r="6" spans="1:5" ht="15.6" x14ac:dyDescent="0.3">
      <c r="A6" s="22" t="s">
        <v>2</v>
      </c>
      <c r="B6" s="22" t="s">
        <v>3</v>
      </c>
      <c r="C6" s="34" t="s">
        <v>4</v>
      </c>
      <c r="D6" s="35" t="s">
        <v>5</v>
      </c>
      <c r="E6" s="22" t="s">
        <v>6</v>
      </c>
    </row>
    <row r="7" spans="1:5" ht="15.6" x14ac:dyDescent="0.3">
      <c r="A7" s="23" t="s">
        <v>7</v>
      </c>
      <c r="B7" s="24">
        <v>0.25</v>
      </c>
      <c r="C7" s="24">
        <v>0.35</v>
      </c>
      <c r="D7" s="24">
        <v>0.1</v>
      </c>
      <c r="E7" s="25">
        <f>CHOOSE($C$4, B7, C7, D7)</f>
        <v>0.25</v>
      </c>
    </row>
    <row r="8" spans="1:5" ht="15.6" x14ac:dyDescent="0.3">
      <c r="A8" s="23" t="s">
        <v>8</v>
      </c>
      <c r="B8" s="24">
        <v>0.2</v>
      </c>
      <c r="C8" s="24">
        <v>0.16</v>
      </c>
      <c r="D8" s="24">
        <v>0.25</v>
      </c>
      <c r="E8" s="25">
        <f t="shared" ref="E8:E14" si="0">CHOOSE($C$4, B8, C8, D8)</f>
        <v>0.2</v>
      </c>
    </row>
    <row r="9" spans="1:5" ht="15.6" x14ac:dyDescent="0.3">
      <c r="A9" s="23" t="s">
        <v>9</v>
      </c>
      <c r="B9" s="24">
        <v>0.25</v>
      </c>
      <c r="C9" s="24">
        <v>0.2</v>
      </c>
      <c r="D9" s="24">
        <v>0.3</v>
      </c>
      <c r="E9" s="25">
        <f t="shared" si="0"/>
        <v>0.25</v>
      </c>
    </row>
    <row r="10" spans="1:5" ht="15.6" x14ac:dyDescent="0.3">
      <c r="A10" s="23" t="s">
        <v>10</v>
      </c>
      <c r="B10" s="24">
        <v>0.18</v>
      </c>
      <c r="C10" s="24">
        <v>0.15</v>
      </c>
      <c r="D10" s="24">
        <v>0.22</v>
      </c>
      <c r="E10" s="25">
        <f t="shared" si="0"/>
        <v>0.18</v>
      </c>
    </row>
    <row r="11" spans="1:5" ht="15.6" x14ac:dyDescent="0.3">
      <c r="A11" s="23" t="s">
        <v>11</v>
      </c>
      <c r="B11" s="24">
        <v>0.08</v>
      </c>
      <c r="C11" s="24">
        <v>7.0000000000000007E-2</v>
      </c>
      <c r="D11" s="24">
        <v>0.1</v>
      </c>
      <c r="E11" s="25">
        <f t="shared" si="0"/>
        <v>0.08</v>
      </c>
    </row>
    <row r="12" spans="1:5" ht="15.6" x14ac:dyDescent="0.3">
      <c r="A12" s="23" t="s">
        <v>12</v>
      </c>
      <c r="B12" s="26">
        <v>600000</v>
      </c>
      <c r="C12" s="26">
        <v>600000</v>
      </c>
      <c r="D12" s="26">
        <v>650000</v>
      </c>
      <c r="E12" s="27">
        <f t="shared" si="0"/>
        <v>600000</v>
      </c>
    </row>
    <row r="13" spans="1:5" ht="15.6" x14ac:dyDescent="0.3">
      <c r="A13" s="23" t="s">
        <v>13</v>
      </c>
      <c r="B13" s="24">
        <v>0.25</v>
      </c>
      <c r="C13" s="24">
        <v>0.25</v>
      </c>
      <c r="D13" s="24">
        <v>0.25</v>
      </c>
      <c r="E13" s="25">
        <f t="shared" si="0"/>
        <v>0.25</v>
      </c>
    </row>
    <row r="14" spans="1:5" ht="15.6" x14ac:dyDescent="0.3">
      <c r="A14" s="23" t="s">
        <v>14</v>
      </c>
      <c r="B14" s="24">
        <v>0.1</v>
      </c>
      <c r="C14" s="24">
        <v>0.1</v>
      </c>
      <c r="D14" s="24">
        <v>0.1</v>
      </c>
      <c r="E14" s="25">
        <f>CHOOSE($C$4, B14, C14, D14)</f>
        <v>0.1</v>
      </c>
    </row>
    <row r="15" spans="1:5" ht="15.6" x14ac:dyDescent="0.3">
      <c r="A15" s="28" t="s">
        <v>37</v>
      </c>
      <c r="B15" s="29">
        <v>1000000</v>
      </c>
      <c r="C15" s="36">
        <v>1000000</v>
      </c>
      <c r="D15" s="36">
        <v>1000000</v>
      </c>
      <c r="E15" s="29">
        <f>CHOOSE($C$4, B15,C15,D15)</f>
        <v>1000000</v>
      </c>
    </row>
    <row r="16" spans="1:5" ht="15.6" x14ac:dyDescent="0.3">
      <c r="A16" s="30" t="s">
        <v>38</v>
      </c>
      <c r="B16" s="31">
        <v>625000</v>
      </c>
      <c r="C16" s="37">
        <v>625000</v>
      </c>
      <c r="D16" s="37">
        <v>625000</v>
      </c>
      <c r="E16" s="31">
        <f>CHOOSE($C$4, B16, C16, D16)</f>
        <v>625000</v>
      </c>
    </row>
    <row r="17" spans="1:5" ht="15.6" x14ac:dyDescent="0.3">
      <c r="A17" s="30" t="s">
        <v>39</v>
      </c>
      <c r="B17" s="32">
        <v>0.08</v>
      </c>
      <c r="C17" s="38">
        <v>0.08</v>
      </c>
      <c r="D17" s="38">
        <v>0.08</v>
      </c>
      <c r="E17" s="33">
        <f>CHOOSE($C$4, B17, C17, D17)</f>
        <v>0.08</v>
      </c>
    </row>
  </sheetData>
  <mergeCells count="2">
    <mergeCell ref="A4:B4"/>
    <mergeCell ref="A1:B2"/>
  </mergeCells>
  <pageMargins left="0.7" right="0.7" top="0.75" bottom="0.75" header="0.3" footer="0.3"/>
  <ignoredErrors>
    <ignoredError sqref="E1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350FB-ABA2-472C-92E9-2AEB46D08C8B}">
  <dimension ref="A1:E22"/>
  <sheetViews>
    <sheetView zoomScale="93" zoomScaleNormal="100" workbookViewId="0">
      <selection activeCell="D7" sqref="D7"/>
    </sheetView>
  </sheetViews>
  <sheetFormatPr defaultRowHeight="14.4" x14ac:dyDescent="0.3"/>
  <cols>
    <col min="1" max="1" width="32.6640625" customWidth="1"/>
    <col min="2" max="2" width="13.5546875" bestFit="1" customWidth="1"/>
    <col min="3" max="3" width="14" customWidth="1"/>
    <col min="4" max="5" width="12.88671875" bestFit="1" customWidth="1"/>
  </cols>
  <sheetData>
    <row r="1" spans="1:5" ht="14.4" customHeight="1" x14ac:dyDescent="0.3">
      <c r="A1" s="10" t="s">
        <v>15</v>
      </c>
      <c r="B1" s="10"/>
      <c r="C1" s="10"/>
      <c r="D1" s="10"/>
    </row>
    <row r="2" spans="1:5" ht="14.4" customHeight="1" x14ac:dyDescent="0.3">
      <c r="A2" s="10"/>
      <c r="B2" s="10"/>
      <c r="C2" s="10"/>
      <c r="D2" s="10"/>
    </row>
    <row r="5" spans="1:5" ht="18" customHeight="1" x14ac:dyDescent="0.3">
      <c r="A5" s="19" t="s">
        <v>36</v>
      </c>
      <c r="B5" s="20" t="s">
        <v>16</v>
      </c>
      <c r="C5" s="21" t="s">
        <v>17</v>
      </c>
      <c r="D5" s="21" t="s">
        <v>18</v>
      </c>
      <c r="E5" s="21" t="s">
        <v>19</v>
      </c>
    </row>
    <row r="6" spans="1:5" x14ac:dyDescent="0.3">
      <c r="A6" s="19"/>
      <c r="B6" s="20"/>
      <c r="C6" s="21"/>
      <c r="D6" s="21"/>
      <c r="E6" s="21"/>
    </row>
    <row r="7" spans="1:5" ht="15.6" x14ac:dyDescent="0.3">
      <c r="A7" s="5" t="s">
        <v>20</v>
      </c>
      <c r="B7" s="7">
        <v>5000000</v>
      </c>
      <c r="C7" s="9">
        <f>B7 * (1 + Assumptions!$E$7)</f>
        <v>6250000</v>
      </c>
      <c r="D7" s="9">
        <f>C7 * (1 + Assumptions!$E$7)</f>
        <v>7812500</v>
      </c>
      <c r="E7" s="9">
        <f>D7 * (1 + Assumptions!$E$7)</f>
        <v>9765625</v>
      </c>
    </row>
    <row r="8" spans="1:5" ht="15.6" x14ac:dyDescent="0.3">
      <c r="A8" s="5" t="s">
        <v>21</v>
      </c>
      <c r="B8" s="7">
        <v>1000000</v>
      </c>
      <c r="C8" s="7">
        <f>C7*Assumptions!$E$8</f>
        <v>1250000</v>
      </c>
      <c r="D8" s="7">
        <f>D7*Assumptions!$E$8</f>
        <v>1562500</v>
      </c>
      <c r="E8" s="7">
        <f>E7*Assumptions!$E$8</f>
        <v>1953125</v>
      </c>
    </row>
    <row r="9" spans="1:5" ht="15.6" x14ac:dyDescent="0.3">
      <c r="A9" s="6" t="s">
        <v>22</v>
      </c>
      <c r="B9" s="8">
        <f>B7-B8</f>
        <v>4000000</v>
      </c>
      <c r="C9" s="8">
        <f>C7-C8</f>
        <v>5000000</v>
      </c>
      <c r="D9" s="8">
        <f t="shared" ref="D9:E9" si="0">D7-D8</f>
        <v>6250000</v>
      </c>
      <c r="E9" s="8">
        <f t="shared" si="0"/>
        <v>7812500</v>
      </c>
    </row>
    <row r="10" spans="1:5" ht="15.6" x14ac:dyDescent="0.3">
      <c r="A10" s="5" t="s">
        <v>23</v>
      </c>
      <c r="B10" s="7"/>
      <c r="C10" s="7"/>
      <c r="D10" s="7"/>
      <c r="E10" s="7"/>
    </row>
    <row r="11" spans="1:5" ht="15.6" x14ac:dyDescent="0.3">
      <c r="A11" s="5" t="s">
        <v>24</v>
      </c>
      <c r="B11" s="7">
        <v>1250000</v>
      </c>
      <c r="C11" s="7">
        <f>C7*Assumptions!$E$9</f>
        <v>1562500</v>
      </c>
      <c r="D11" s="7">
        <f>D7*Assumptions!$E$9</f>
        <v>1953125</v>
      </c>
      <c r="E11" s="7">
        <f>E7*Assumptions!$E$9</f>
        <v>2441406.25</v>
      </c>
    </row>
    <row r="12" spans="1:5" ht="15.6" x14ac:dyDescent="0.3">
      <c r="A12" s="5" t="s">
        <v>25</v>
      </c>
      <c r="B12" s="7">
        <v>900000</v>
      </c>
      <c r="C12" s="7">
        <f>C7*Assumptions!$E$10</f>
        <v>1125000</v>
      </c>
      <c r="D12" s="7">
        <f>D7*Assumptions!$E$10</f>
        <v>1406250</v>
      </c>
      <c r="E12" s="7">
        <f>E7*Assumptions!$E$10</f>
        <v>1757812.5</v>
      </c>
    </row>
    <row r="13" spans="1:5" ht="15.6" x14ac:dyDescent="0.3">
      <c r="A13" s="5" t="s">
        <v>26</v>
      </c>
      <c r="B13" s="7">
        <v>400000</v>
      </c>
      <c r="C13" s="7">
        <f>C7*Assumptions!$E$11</f>
        <v>500000</v>
      </c>
      <c r="D13" s="7">
        <f>D7*Assumptions!$E$11</f>
        <v>625000</v>
      </c>
      <c r="E13" s="7">
        <f>E7*Assumptions!$E$11</f>
        <v>781250</v>
      </c>
    </row>
    <row r="14" spans="1:5" ht="15.6" x14ac:dyDescent="0.3">
      <c r="A14" s="5" t="s">
        <v>27</v>
      </c>
      <c r="B14" s="7">
        <v>600000</v>
      </c>
      <c r="C14" s="7">
        <f>Assumptions!$E$12</f>
        <v>600000</v>
      </c>
      <c r="D14" s="7">
        <f>Assumptions!$E$12</f>
        <v>600000</v>
      </c>
      <c r="E14" s="7">
        <f>Assumptions!$E$12</f>
        <v>600000</v>
      </c>
    </row>
    <row r="15" spans="1:5" ht="15.6" x14ac:dyDescent="0.3">
      <c r="A15" s="6" t="s">
        <v>28</v>
      </c>
      <c r="B15" s="8">
        <f>SUM(B11:B14)</f>
        <v>3150000</v>
      </c>
      <c r="C15" s="8">
        <f>SUM(C11:C14)</f>
        <v>3787500</v>
      </c>
      <c r="D15" s="8">
        <f t="shared" ref="D15:E15" si="1">SUM(D11:D14)</f>
        <v>4584375</v>
      </c>
      <c r="E15" s="8">
        <f t="shared" si="1"/>
        <v>5580468.75</v>
      </c>
    </row>
    <row r="16" spans="1:5" ht="15.6" x14ac:dyDescent="0.3">
      <c r="A16" s="6" t="s">
        <v>29</v>
      </c>
      <c r="B16" s="8">
        <f>B9-B15</f>
        <v>850000</v>
      </c>
      <c r="C16" s="8">
        <f>C9-C15</f>
        <v>1212500</v>
      </c>
      <c r="D16" s="8">
        <f t="shared" ref="D16:E16" si="2">D9-D15</f>
        <v>1665625</v>
      </c>
      <c r="E16" s="8">
        <f t="shared" si="2"/>
        <v>2232031.25</v>
      </c>
    </row>
    <row r="17" spans="1:5" ht="15.6" x14ac:dyDescent="0.3">
      <c r="A17" s="5" t="s">
        <v>30</v>
      </c>
      <c r="B17" s="7">
        <v>100000</v>
      </c>
      <c r="C17" s="7">
        <f>Assumptions!$E$15*Assumptions!$E$14</f>
        <v>100000</v>
      </c>
      <c r="D17" s="7">
        <f>Assumptions!$E$15*Assumptions!$E$14</f>
        <v>100000</v>
      </c>
      <c r="E17" s="7">
        <f>Assumptions!$E$15*Assumptions!$E$14</f>
        <v>100000</v>
      </c>
    </row>
    <row r="18" spans="1:5" ht="15.6" x14ac:dyDescent="0.3">
      <c r="A18" s="6" t="s">
        <v>31</v>
      </c>
      <c r="B18" s="8">
        <f>B16-B17</f>
        <v>750000</v>
      </c>
      <c r="C18" s="8">
        <f>C16-C17</f>
        <v>1112500</v>
      </c>
      <c r="D18" s="8">
        <f t="shared" ref="D18:E18" si="3">D16-D17</f>
        <v>1565625</v>
      </c>
      <c r="E18" s="8">
        <f t="shared" si="3"/>
        <v>2132031.25</v>
      </c>
    </row>
    <row r="19" spans="1:5" ht="15.6" x14ac:dyDescent="0.3">
      <c r="A19" s="5" t="s">
        <v>32</v>
      </c>
      <c r="B19" s="7">
        <v>50000</v>
      </c>
      <c r="C19" s="7">
        <f>Assumptions!$E$16*Assumptions!$E$17</f>
        <v>50000</v>
      </c>
      <c r="D19" s="7">
        <f>Assumptions!$E$16*Assumptions!$E$17</f>
        <v>50000</v>
      </c>
      <c r="E19" s="7">
        <f>Assumptions!$E$16*Assumptions!$E$17</f>
        <v>50000</v>
      </c>
    </row>
    <row r="20" spans="1:5" ht="15.6" x14ac:dyDescent="0.3">
      <c r="A20" s="6" t="s">
        <v>33</v>
      </c>
      <c r="B20" s="8">
        <f>B18-B19</f>
        <v>700000</v>
      </c>
      <c r="C20" s="8">
        <f>C18-C19</f>
        <v>1062500</v>
      </c>
      <c r="D20" s="8">
        <f t="shared" ref="D20:E20" si="4">D18-D19</f>
        <v>1515625</v>
      </c>
      <c r="E20" s="8">
        <f t="shared" si="4"/>
        <v>2082031.25</v>
      </c>
    </row>
    <row r="21" spans="1:5" ht="15.6" x14ac:dyDescent="0.3">
      <c r="A21" s="5" t="s">
        <v>34</v>
      </c>
      <c r="B21" s="7">
        <f>B20*0.25</f>
        <v>175000</v>
      </c>
      <c r="C21" s="7">
        <f>IF(C20&gt;0,C20*Assumptions!$E$13,0)</f>
        <v>265625</v>
      </c>
      <c r="D21" s="7">
        <f>IF(D20&gt;0,D20*Assumptions!$E$13,0)</f>
        <v>378906.25</v>
      </c>
      <c r="E21" s="7">
        <f>IF(E20&gt;0,E20*Assumptions!$E$13,0)</f>
        <v>520507.8125</v>
      </c>
    </row>
    <row r="22" spans="1:5" ht="15.6" x14ac:dyDescent="0.3">
      <c r="A22" s="14" t="s">
        <v>35</v>
      </c>
      <c r="B22" s="15">
        <f>B20-B21</f>
        <v>525000</v>
      </c>
      <c r="C22" s="15">
        <f>C20-C21</f>
        <v>796875</v>
      </c>
      <c r="D22" s="15">
        <f t="shared" ref="D22:E22" si="5">D20-D21</f>
        <v>1136718.75</v>
      </c>
      <c r="E22" s="15">
        <f t="shared" si="5"/>
        <v>1561523.4375</v>
      </c>
    </row>
  </sheetData>
  <mergeCells count="6">
    <mergeCell ref="A1:D2"/>
    <mergeCell ref="A5:A6"/>
    <mergeCell ref="B5:B6"/>
    <mergeCell ref="C5:C6"/>
    <mergeCell ref="D5:D6"/>
    <mergeCell ref="E5:E6"/>
  </mergeCells>
  <pageMargins left="0.7" right="0.7" top="0.75" bottom="0.75" header="0.3" footer="0.3"/>
  <ignoredErrors>
    <ignoredError sqref="B21:C21 C19:E19 D21:E2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D7B3-9457-4182-B42E-7C38355DC4AC}">
  <dimension ref="A1:G32"/>
  <sheetViews>
    <sheetView zoomScale="89" workbookViewId="0">
      <selection sqref="A1:E2"/>
    </sheetView>
  </sheetViews>
  <sheetFormatPr defaultRowHeight="14.4" x14ac:dyDescent="0.3"/>
  <cols>
    <col min="1" max="1" width="37" customWidth="1"/>
    <col min="2" max="2" width="14.109375" bestFit="1" customWidth="1"/>
    <col min="3" max="5" width="13.44140625" bestFit="1" customWidth="1"/>
    <col min="17" max="17" width="8.88671875" customWidth="1"/>
  </cols>
  <sheetData>
    <row r="1" spans="1:7" ht="18" customHeight="1" x14ac:dyDescent="0.35">
      <c r="A1" s="39" t="s">
        <v>40</v>
      </c>
      <c r="B1" s="39"/>
      <c r="C1" s="39"/>
      <c r="D1" s="39"/>
      <c r="E1" s="39"/>
      <c r="F1" s="13"/>
      <c r="G1" s="13"/>
    </row>
    <row r="2" spans="1:7" ht="14.4" customHeight="1" x14ac:dyDescent="0.35">
      <c r="A2" s="39"/>
      <c r="B2" s="39"/>
      <c r="C2" s="39"/>
      <c r="D2" s="39"/>
      <c r="E2" s="39"/>
      <c r="F2" s="13"/>
      <c r="G2" s="13"/>
    </row>
    <row r="3" spans="1:7" ht="15.6" customHeight="1" x14ac:dyDescent="0.3">
      <c r="A3" s="11" t="s">
        <v>41</v>
      </c>
      <c r="B3" s="11" t="s">
        <v>16</v>
      </c>
      <c r="C3" s="12" t="s">
        <v>17</v>
      </c>
      <c r="D3" s="12" t="s">
        <v>18</v>
      </c>
      <c r="E3" s="12" t="s">
        <v>19</v>
      </c>
    </row>
    <row r="4" spans="1:7" x14ac:dyDescent="0.3">
      <c r="A4" s="11"/>
      <c r="B4" s="11"/>
      <c r="C4" s="12"/>
      <c r="D4" s="12"/>
      <c r="E4" s="12"/>
    </row>
    <row r="5" spans="1:7" ht="15.6" x14ac:dyDescent="0.3">
      <c r="A5" s="6" t="s">
        <v>42</v>
      </c>
      <c r="B5" s="6" t="s">
        <v>65</v>
      </c>
      <c r="C5" s="6" t="s">
        <v>65</v>
      </c>
      <c r="D5" s="6" t="s">
        <v>65</v>
      </c>
      <c r="E5" s="6" t="s">
        <v>65</v>
      </c>
    </row>
    <row r="6" spans="1:7" ht="15.6" x14ac:dyDescent="0.3">
      <c r="A6" s="6" t="s">
        <v>43</v>
      </c>
      <c r="B6" s="5"/>
    </row>
    <row r="7" spans="1:7" ht="15.6" x14ac:dyDescent="0.3">
      <c r="A7" s="5" t="s">
        <v>44</v>
      </c>
      <c r="B7" s="7">
        <v>1500000</v>
      </c>
      <c r="C7" s="16">
        <f>C32-C15-C8</f>
        <v>2520162.0958904112</v>
      </c>
      <c r="D7" s="16">
        <f>D32-D15-D8</f>
        <v>3654141.1198630137</v>
      </c>
      <c r="E7" s="16">
        <f t="shared" ref="D7:E7" si="0">E32-E15-E8</f>
        <v>5187239.8998287665</v>
      </c>
    </row>
    <row r="8" spans="1:7" ht="15.6" x14ac:dyDescent="0.3">
      <c r="A8" s="5" t="s">
        <v>45</v>
      </c>
      <c r="B8" s="7">
        <v>616438</v>
      </c>
      <c r="C8" s="16">
        <f>('Income statement '!C7/365)*30</f>
        <v>513698.63013698626</v>
      </c>
      <c r="D8" s="16">
        <f>('Income statement '!D7/365)*30</f>
        <v>642123.28767123283</v>
      </c>
      <c r="E8" s="16">
        <f>('Income statement '!E7/365)*30</f>
        <v>802654.10958904109</v>
      </c>
    </row>
    <row r="9" spans="1:7" ht="15.6" x14ac:dyDescent="0.3">
      <c r="A9" s="6" t="s">
        <v>46</v>
      </c>
      <c r="B9" s="8">
        <f>SUM(B7:B8)</f>
        <v>2116438</v>
      </c>
      <c r="C9" s="18">
        <f>SUM(C7:C8)</f>
        <v>3033860.7260273974</v>
      </c>
      <c r="D9" s="18">
        <f t="shared" ref="D9:E9" si="1">SUM(D7:D8)</f>
        <v>4296264.4075342463</v>
      </c>
      <c r="E9" s="18">
        <f t="shared" si="1"/>
        <v>5989894.0094178077</v>
      </c>
    </row>
    <row r="10" spans="1:7" ht="15.6" x14ac:dyDescent="0.3">
      <c r="A10" s="5"/>
      <c r="B10" s="7"/>
    </row>
    <row r="11" spans="1:7" ht="15.6" x14ac:dyDescent="0.3">
      <c r="A11" s="6" t="s">
        <v>47</v>
      </c>
      <c r="B11" s="7"/>
    </row>
    <row r="12" spans="1:7" ht="15.6" x14ac:dyDescent="0.3">
      <c r="A12" s="5" t="s">
        <v>48</v>
      </c>
      <c r="B12" s="7">
        <v>1000000</v>
      </c>
      <c r="C12" s="16">
        <f>B12</f>
        <v>1000000</v>
      </c>
      <c r="D12" s="16">
        <f t="shared" ref="D12:E12" si="2">C12</f>
        <v>1000000</v>
      </c>
      <c r="E12" s="16">
        <f t="shared" si="2"/>
        <v>1000000</v>
      </c>
    </row>
    <row r="13" spans="1:7" ht="15.6" x14ac:dyDescent="0.3">
      <c r="A13" s="5" t="s">
        <v>49</v>
      </c>
      <c r="B13" s="7">
        <v>100000</v>
      </c>
      <c r="C13" s="16">
        <f>B13+'Income statement '!C17</f>
        <v>200000</v>
      </c>
      <c r="D13" s="16">
        <f>C13+'Income statement '!D17</f>
        <v>300000</v>
      </c>
      <c r="E13" s="16">
        <f>D13+'Income statement '!E17</f>
        <v>400000</v>
      </c>
    </row>
    <row r="14" spans="1:7" ht="15.6" x14ac:dyDescent="0.3">
      <c r="A14" s="5" t="s">
        <v>50</v>
      </c>
      <c r="B14" s="7">
        <f>B12-B13</f>
        <v>900000</v>
      </c>
      <c r="C14" s="16">
        <f>C12-C13</f>
        <v>800000</v>
      </c>
      <c r="D14" s="16">
        <f t="shared" ref="D14:E14" si="3">D12-D13</f>
        <v>700000</v>
      </c>
      <c r="E14" s="16">
        <f t="shared" si="3"/>
        <v>600000</v>
      </c>
    </row>
    <row r="15" spans="1:7" ht="15.6" x14ac:dyDescent="0.3">
      <c r="A15" s="6" t="s">
        <v>64</v>
      </c>
      <c r="B15" s="8">
        <f>B14</f>
        <v>900000</v>
      </c>
      <c r="C15" s="16">
        <f>C14</f>
        <v>800000</v>
      </c>
      <c r="D15" s="16">
        <f t="shared" ref="D15:E15" si="4">D14</f>
        <v>700000</v>
      </c>
      <c r="E15" s="16">
        <f t="shared" si="4"/>
        <v>600000</v>
      </c>
    </row>
    <row r="16" spans="1:7" ht="15.6" x14ac:dyDescent="0.3">
      <c r="A16" s="14" t="s">
        <v>51</v>
      </c>
      <c r="B16" s="15">
        <f>B9+B14</f>
        <v>3016438</v>
      </c>
      <c r="C16" s="17">
        <f>C9+C15</f>
        <v>3833860.7260273974</v>
      </c>
      <c r="D16" s="17">
        <f t="shared" ref="D16:E16" si="5">D9+D15</f>
        <v>4996264.4075342463</v>
      </c>
      <c r="E16" s="17">
        <f t="shared" si="5"/>
        <v>6589894.0094178077</v>
      </c>
    </row>
    <row r="17" spans="1:5" ht="15.6" x14ac:dyDescent="0.3">
      <c r="A17" s="5"/>
      <c r="B17" s="7"/>
    </row>
    <row r="18" spans="1:5" ht="15.6" x14ac:dyDescent="0.3">
      <c r="A18" s="6" t="s">
        <v>52</v>
      </c>
      <c r="B18" s="7"/>
    </row>
    <row r="19" spans="1:5" ht="15.6" x14ac:dyDescent="0.3">
      <c r="A19" s="6" t="s">
        <v>53</v>
      </c>
      <c r="B19" s="7"/>
    </row>
    <row r="20" spans="1:5" ht="15.6" x14ac:dyDescent="0.3">
      <c r="A20" s="5" t="s">
        <v>54</v>
      </c>
      <c r="B20" s="7">
        <v>82192</v>
      </c>
      <c r="C20" s="16">
        <f>('Income statement '!C8/365)*30</f>
        <v>102739.72602739726</v>
      </c>
      <c r="D20" s="16">
        <f>('Income statement '!D8/365)*30</f>
        <v>128424.65753424657</v>
      </c>
      <c r="E20" s="16">
        <f>('Income statement '!E8/365)*30</f>
        <v>160530.82191780821</v>
      </c>
    </row>
    <row r="21" spans="1:5" ht="15.6" x14ac:dyDescent="0.3">
      <c r="A21" s="6" t="s">
        <v>55</v>
      </c>
      <c r="B21" s="8">
        <f>B20</f>
        <v>82192</v>
      </c>
      <c r="C21" s="18">
        <f>C20</f>
        <v>102739.72602739726</v>
      </c>
      <c r="D21" s="18">
        <f t="shared" ref="D21:E21" si="6">D20</f>
        <v>128424.65753424657</v>
      </c>
      <c r="E21" s="18">
        <f t="shared" si="6"/>
        <v>160530.82191780821</v>
      </c>
    </row>
    <row r="22" spans="1:5" ht="15.6" x14ac:dyDescent="0.3">
      <c r="A22" s="5"/>
      <c r="B22" s="7"/>
    </row>
    <row r="23" spans="1:5" ht="15.6" x14ac:dyDescent="0.3">
      <c r="A23" s="5" t="s">
        <v>56</v>
      </c>
      <c r="B23" s="7"/>
    </row>
    <row r="24" spans="1:5" ht="15.6" x14ac:dyDescent="0.3">
      <c r="A24" s="5" t="s">
        <v>57</v>
      </c>
      <c r="B24" s="7">
        <v>625000</v>
      </c>
      <c r="C24" s="16">
        <f>B24</f>
        <v>625000</v>
      </c>
      <c r="D24" s="16">
        <f t="shared" ref="D24:E24" si="7">C24</f>
        <v>625000</v>
      </c>
      <c r="E24" s="16">
        <f t="shared" si="7"/>
        <v>625000</v>
      </c>
    </row>
    <row r="25" spans="1:5" ht="15.6" x14ac:dyDescent="0.3">
      <c r="A25" s="6" t="s">
        <v>66</v>
      </c>
      <c r="B25" s="7">
        <f>B24</f>
        <v>625000</v>
      </c>
      <c r="C25" s="16">
        <f>C24</f>
        <v>625000</v>
      </c>
      <c r="D25" s="16">
        <f t="shared" ref="D25:E25" si="8">D24</f>
        <v>625000</v>
      </c>
      <c r="E25" s="16">
        <f t="shared" si="8"/>
        <v>625000</v>
      </c>
    </row>
    <row r="26" spans="1:5" ht="15.6" x14ac:dyDescent="0.3">
      <c r="A26" s="6" t="s">
        <v>58</v>
      </c>
      <c r="B26" s="8">
        <f>B24+B21</f>
        <v>707192</v>
      </c>
      <c r="C26" s="18">
        <f>C21+C25</f>
        <v>727739.72602739721</v>
      </c>
      <c r="D26" s="18">
        <f t="shared" ref="D26:E26" si="9">D21+D25</f>
        <v>753424.65753424657</v>
      </c>
      <c r="E26" s="18">
        <f t="shared" si="9"/>
        <v>785530.82191780815</v>
      </c>
    </row>
    <row r="27" spans="1:5" ht="15.6" x14ac:dyDescent="0.3">
      <c r="A27" s="5"/>
      <c r="B27" s="7"/>
    </row>
    <row r="28" spans="1:5" ht="15.6" x14ac:dyDescent="0.3">
      <c r="A28" s="6" t="s">
        <v>59</v>
      </c>
      <c r="B28" s="7"/>
    </row>
    <row r="29" spans="1:5" ht="15.6" x14ac:dyDescent="0.3">
      <c r="A29" s="5" t="s">
        <v>60</v>
      </c>
      <c r="B29" s="7">
        <v>1000000</v>
      </c>
      <c r="C29" s="16">
        <f>B29</f>
        <v>1000000</v>
      </c>
      <c r="D29" s="16">
        <f t="shared" ref="D29:E29" si="10">C29</f>
        <v>1000000</v>
      </c>
      <c r="E29" s="16">
        <f t="shared" si="10"/>
        <v>1000000</v>
      </c>
    </row>
    <row r="30" spans="1:5" ht="15.6" x14ac:dyDescent="0.3">
      <c r="A30" s="5" t="s">
        <v>61</v>
      </c>
      <c r="B30" s="7">
        <v>1309246</v>
      </c>
      <c r="C30" s="16">
        <f>B30+'Income statement '!C22</f>
        <v>2106121</v>
      </c>
      <c r="D30" s="16">
        <f>C30+'Income statement '!D22</f>
        <v>3242839.75</v>
      </c>
      <c r="E30" s="16">
        <f>D30+'Income statement '!E22</f>
        <v>4804363.1875</v>
      </c>
    </row>
    <row r="31" spans="1:5" ht="15.6" x14ac:dyDescent="0.3">
      <c r="A31" s="6" t="s">
        <v>62</v>
      </c>
      <c r="B31" s="8">
        <f>SUM(B29:B30)</f>
        <v>2309246</v>
      </c>
      <c r="C31" s="16">
        <f>SUM(C29:C30)</f>
        <v>3106121</v>
      </c>
      <c r="D31" s="16">
        <f t="shared" ref="D31:E31" si="11">SUM(D29:D30)</f>
        <v>4242839.75</v>
      </c>
      <c r="E31" s="16">
        <f t="shared" si="11"/>
        <v>5804363.1875</v>
      </c>
    </row>
    <row r="32" spans="1:5" ht="15.6" x14ac:dyDescent="0.3">
      <c r="A32" s="14" t="s">
        <v>63</v>
      </c>
      <c r="B32" s="15">
        <f>B26+B31</f>
        <v>3016438</v>
      </c>
      <c r="C32" s="17">
        <f>C26+C31</f>
        <v>3833860.7260273974</v>
      </c>
      <c r="D32" s="17">
        <f t="shared" ref="D32:E32" si="12">D26+D31</f>
        <v>4996264.4075342463</v>
      </c>
      <c r="E32" s="17">
        <f t="shared" si="12"/>
        <v>6589894.0094178077</v>
      </c>
    </row>
  </sheetData>
  <mergeCells count="6">
    <mergeCell ref="B3:B4"/>
    <mergeCell ref="C3:C4"/>
    <mergeCell ref="D3:D4"/>
    <mergeCell ref="E3:E4"/>
    <mergeCell ref="A3:A4"/>
    <mergeCell ref="A1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1F010-C4FB-4CC3-82AF-6E4EB4905CC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A545A-387F-4AE1-B78E-057214D5B25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Income statement </vt:lpstr>
      <vt:lpstr>Balance sheet </vt:lpstr>
      <vt:lpstr>Cashflow</vt:lpstr>
      <vt:lpstr>DCF valuation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Singh</dc:creator>
  <cp:lastModifiedBy>MC252148 OMKAR SINGH</cp:lastModifiedBy>
  <dcterms:created xsi:type="dcterms:W3CDTF">2026-08-01T14:01:48Z</dcterms:created>
  <dcterms:modified xsi:type="dcterms:W3CDTF">2026-08-01T17:14:39Z</dcterms:modified>
</cp:coreProperties>
</file>