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2d628e8a33ccc6/Documents/"/>
    </mc:Choice>
  </mc:AlternateContent>
  <xr:revisionPtr revIDLastSave="4382" documentId="8_{7A3FDC73-C136-41A6-B5E0-74EFB6714C60}" xr6:coauthVersionLast="47" xr6:coauthVersionMax="47" xr10:uidLastSave="{1E1E34AE-9F7F-4A1B-BE78-45BCA72E0E76}"/>
  <bookViews>
    <workbookView xWindow="-108" yWindow="-108" windowWidth="23256" windowHeight="12456" xr2:uid="{CE66CD6C-A494-43A6-B84C-91F55CC26834}"/>
  </bookViews>
  <sheets>
    <sheet name="01_Executive_Summary" sheetId="1" r:id="rId1"/>
    <sheet name="02_3_Statement_Model" sheetId="2" r:id="rId2"/>
    <sheet name="03_Schedules" sheetId="3" r:id="rId3"/>
    <sheet name="04_DCF_Valuation" sheetId="4" r:id="rId4"/>
    <sheet name="05_LBO_Retur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5" l="1"/>
  <c r="C20" i="5"/>
  <c r="G6" i="4"/>
  <c r="G7" i="4" s="1"/>
  <c r="F6" i="4"/>
  <c r="F7" i="4" s="1"/>
  <c r="E6" i="4"/>
  <c r="E7" i="4" s="1"/>
  <c r="D6" i="4"/>
  <c r="D7" i="4" s="1"/>
  <c r="C22" i="4"/>
  <c r="C19" i="4"/>
  <c r="I62" i="2"/>
  <c r="H38" i="2"/>
  <c r="G38" i="2"/>
  <c r="F38" i="2"/>
  <c r="E38" i="2"/>
  <c r="D38" i="2"/>
  <c r="G46" i="2"/>
  <c r="F46" i="2"/>
  <c r="E46" i="2"/>
  <c r="D46" i="2"/>
  <c r="J35" i="2"/>
  <c r="K35" i="2"/>
  <c r="L35" i="2"/>
  <c r="M35" i="2"/>
  <c r="I35" i="2"/>
  <c r="D25" i="5"/>
  <c r="D30" i="5"/>
  <c r="C35" i="5" s="1"/>
  <c r="E49" i="3"/>
  <c r="J21" i="2" s="1"/>
  <c r="F49" i="3"/>
  <c r="K21" i="2" s="1"/>
  <c r="G49" i="3"/>
  <c r="L21" i="2" s="1"/>
  <c r="H49" i="3"/>
  <c r="M21" i="2" s="1"/>
  <c r="D49" i="3"/>
  <c r="I21" i="2" s="1"/>
  <c r="D19" i="3"/>
  <c r="E19" i="3"/>
  <c r="F19" i="3"/>
  <c r="G19" i="3"/>
  <c r="D9" i="3"/>
  <c r="E9" i="3" s="1"/>
  <c r="D7" i="3"/>
  <c r="I9" i="2" s="1"/>
  <c r="D5" i="3"/>
  <c r="C12" i="2"/>
  <c r="C16" i="2" s="1"/>
  <c r="D12" i="2"/>
  <c r="D13" i="2" s="1"/>
  <c r="E12" i="2"/>
  <c r="E16" i="2" s="1"/>
  <c r="E19" i="2" s="1"/>
  <c r="E22" i="2" s="1"/>
  <c r="F12" i="2"/>
  <c r="F16" i="2" s="1"/>
  <c r="G12" i="2"/>
  <c r="G16" i="2" s="1"/>
  <c r="H12" i="2"/>
  <c r="H16" i="2" s="1"/>
  <c r="C37" i="5" l="1"/>
  <c r="C38" i="5" s="1"/>
  <c r="C36" i="5"/>
  <c r="C25" i="4"/>
  <c r="C13" i="2"/>
  <c r="D16" i="2"/>
  <c r="D19" i="2" s="1"/>
  <c r="D22" i="2" s="1"/>
  <c r="D24" i="2" s="1"/>
  <c r="E13" i="2"/>
  <c r="H17" i="2"/>
  <c r="H19" i="2"/>
  <c r="H22" i="2" s="1"/>
  <c r="G17" i="2"/>
  <c r="G19" i="2"/>
  <c r="G22" i="2" s="1"/>
  <c r="C17" i="2"/>
  <c r="C19" i="2"/>
  <c r="C22" i="2" s="1"/>
  <c r="E24" i="2"/>
  <c r="E25" i="2"/>
  <c r="F19" i="2"/>
  <c r="F22" i="2" s="1"/>
  <c r="F17" i="2"/>
  <c r="E17" i="2"/>
  <c r="H13" i="2"/>
  <c r="G13" i="2"/>
  <c r="F13" i="2"/>
  <c r="I10" i="2"/>
  <c r="D11" i="3"/>
  <c r="D38" i="3" s="1"/>
  <c r="F9" i="3"/>
  <c r="J10" i="2"/>
  <c r="E5" i="3"/>
  <c r="E7" i="3"/>
  <c r="I8" i="2"/>
  <c r="D17" i="2" l="1"/>
  <c r="D25" i="2"/>
  <c r="C8" i="1"/>
  <c r="I55" i="2"/>
  <c r="I57" i="2" s="1"/>
  <c r="D25" i="3"/>
  <c r="I42" i="2" s="1"/>
  <c r="D44" i="5"/>
  <c r="H25" i="2"/>
  <c r="H24" i="2"/>
  <c r="I7" i="2"/>
  <c r="I37" i="2" s="1"/>
  <c r="F25" i="2"/>
  <c r="F24" i="2"/>
  <c r="C25" i="2"/>
  <c r="C24" i="2"/>
  <c r="G25" i="2"/>
  <c r="G24" i="2"/>
  <c r="F5" i="3"/>
  <c r="J8" i="2"/>
  <c r="E11" i="3"/>
  <c r="F7" i="3"/>
  <c r="J9" i="2"/>
  <c r="G9" i="3"/>
  <c r="K10" i="2"/>
  <c r="D39" i="3"/>
  <c r="I14" i="2" l="1"/>
  <c r="I11" i="2"/>
  <c r="D27" i="3" s="1"/>
  <c r="I43" i="2" s="1"/>
  <c r="D46" i="5"/>
  <c r="D45" i="5"/>
  <c r="D43" i="5"/>
  <c r="I15" i="2"/>
  <c r="D40" i="3"/>
  <c r="I18" i="2"/>
  <c r="I52" i="2" s="1"/>
  <c r="H9" i="3"/>
  <c r="M10" i="2" s="1"/>
  <c r="L10" i="2"/>
  <c r="G7" i="3"/>
  <c r="K9" i="2"/>
  <c r="E25" i="3"/>
  <c r="J42" i="2" s="1"/>
  <c r="E38" i="3"/>
  <c r="J7" i="2"/>
  <c r="J37" i="2" s="1"/>
  <c r="F11" i="3"/>
  <c r="G5" i="3"/>
  <c r="K8" i="2"/>
  <c r="D29" i="3" l="1"/>
  <c r="I36" i="2" s="1"/>
  <c r="I12" i="2"/>
  <c r="I13" i="2" s="1"/>
  <c r="E36" i="3"/>
  <c r="E39" i="3" s="1"/>
  <c r="E40" i="3" s="1"/>
  <c r="I41" i="2"/>
  <c r="J55" i="2"/>
  <c r="J57" i="2" s="1"/>
  <c r="D9" i="4"/>
  <c r="K7" i="2"/>
  <c r="K37" i="2" s="1"/>
  <c r="H5" i="3"/>
  <c r="G11" i="3"/>
  <c r="L8" i="2"/>
  <c r="J15" i="2"/>
  <c r="J11" i="2"/>
  <c r="J14" i="2"/>
  <c r="H7" i="3"/>
  <c r="M9" i="2" s="1"/>
  <c r="L9" i="2"/>
  <c r="F38" i="3"/>
  <c r="F25" i="3"/>
  <c r="K42" i="2" s="1"/>
  <c r="D30" i="3" l="1"/>
  <c r="D31" i="3" s="1"/>
  <c r="I53" i="2" s="1"/>
  <c r="I16" i="2"/>
  <c r="I19" i="2" s="1"/>
  <c r="I22" i="2" s="1"/>
  <c r="F36" i="3"/>
  <c r="J41" i="2"/>
  <c r="K55" i="2"/>
  <c r="K57" i="2" s="1"/>
  <c r="E9" i="4"/>
  <c r="J18" i="2"/>
  <c r="J52" i="2" s="1"/>
  <c r="D8" i="4"/>
  <c r="F39" i="3"/>
  <c r="E8" i="4" s="1"/>
  <c r="E29" i="3"/>
  <c r="J36" i="2" s="1"/>
  <c r="E27" i="3"/>
  <c r="J12" i="2"/>
  <c r="L7" i="2"/>
  <c r="L37" i="2" s="1"/>
  <c r="G38" i="3"/>
  <c r="G25" i="3"/>
  <c r="L42" i="2" s="1"/>
  <c r="M8" i="2"/>
  <c r="M7" i="2" s="1"/>
  <c r="M37" i="2" s="1"/>
  <c r="H11" i="3"/>
  <c r="K15" i="2"/>
  <c r="K11" i="2"/>
  <c r="K12" i="2" s="1"/>
  <c r="K14" i="2"/>
  <c r="I17" i="2" l="1"/>
  <c r="F9" i="4"/>
  <c r="L55" i="2"/>
  <c r="L57" i="2" s="1"/>
  <c r="E30" i="3"/>
  <c r="E31" i="3" s="1"/>
  <c r="J43" i="2"/>
  <c r="F40" i="3"/>
  <c r="K18" i="2"/>
  <c r="K52" i="2" s="1"/>
  <c r="I23" i="2"/>
  <c r="I24" i="2" s="1"/>
  <c r="H38" i="3"/>
  <c r="H25" i="3"/>
  <c r="M42" i="2" s="1"/>
  <c r="M15" i="2"/>
  <c r="M14" i="2"/>
  <c r="M11" i="2"/>
  <c r="M12" i="2" s="1"/>
  <c r="L15" i="2"/>
  <c r="L11" i="2"/>
  <c r="L12" i="2" s="1"/>
  <c r="L14" i="2"/>
  <c r="J16" i="2"/>
  <c r="J13" i="2"/>
  <c r="K16" i="2"/>
  <c r="K13" i="2"/>
  <c r="F27" i="3"/>
  <c r="K43" i="2" s="1"/>
  <c r="F29" i="3"/>
  <c r="K36" i="2" s="1"/>
  <c r="G36" i="3" l="1"/>
  <c r="G39" i="3" s="1"/>
  <c r="K41" i="2"/>
  <c r="M55" i="2"/>
  <c r="M57" i="2" s="1"/>
  <c r="G9" i="4"/>
  <c r="D10" i="4"/>
  <c r="D11" i="4" s="1"/>
  <c r="J53" i="2"/>
  <c r="G40" i="3"/>
  <c r="K17" i="2"/>
  <c r="K19" i="2"/>
  <c r="K22" i="2" s="1"/>
  <c r="J17" i="2"/>
  <c r="J19" i="2"/>
  <c r="J22" i="2" s="1"/>
  <c r="I25" i="2"/>
  <c r="I32" i="2" s="1"/>
  <c r="M16" i="2"/>
  <c r="M13" i="2"/>
  <c r="L16" i="2"/>
  <c r="L13" i="2"/>
  <c r="G29" i="3"/>
  <c r="L36" i="2" s="1"/>
  <c r="G27" i="3"/>
  <c r="L43" i="2" s="1"/>
  <c r="F30" i="3"/>
  <c r="F31" i="3" s="1"/>
  <c r="H27" i="3"/>
  <c r="M43" i="2" s="1"/>
  <c r="H29" i="3"/>
  <c r="H36" i="3" l="1"/>
  <c r="H39" i="3" s="1"/>
  <c r="G8" i="4" s="1"/>
  <c r="L41" i="2"/>
  <c r="L18" i="2"/>
  <c r="L52" i="2" s="1"/>
  <c r="F8" i="4"/>
  <c r="I51" i="2"/>
  <c r="E10" i="4"/>
  <c r="E11" i="4" s="1"/>
  <c r="K53" i="2"/>
  <c r="H30" i="3"/>
  <c r="M36" i="2"/>
  <c r="L17" i="2"/>
  <c r="M17" i="2"/>
  <c r="M18" i="2"/>
  <c r="J23" i="2"/>
  <c r="J24" i="2" s="1"/>
  <c r="K23" i="2"/>
  <c r="K24" i="2" s="1"/>
  <c r="G30" i="3"/>
  <c r="G31" i="3" s="1"/>
  <c r="H40" i="3" l="1"/>
  <c r="M41" i="2" s="1"/>
  <c r="L19" i="2"/>
  <c r="L22" i="2" s="1"/>
  <c r="L23" i="2" s="1"/>
  <c r="L24" i="2" s="1"/>
  <c r="I59" i="2"/>
  <c r="I54" i="2"/>
  <c r="M19" i="2"/>
  <c r="M22" i="2" s="1"/>
  <c r="M23" i="2" s="1"/>
  <c r="M24" i="2" s="1"/>
  <c r="M52" i="2"/>
  <c r="F10" i="4"/>
  <c r="F11" i="4" s="1"/>
  <c r="L53" i="2"/>
  <c r="K25" i="2"/>
  <c r="K51" i="2" s="1"/>
  <c r="K59" i="2" s="1"/>
  <c r="K60" i="2" s="1"/>
  <c r="J25" i="2"/>
  <c r="J32" i="2" s="1"/>
  <c r="H31" i="3"/>
  <c r="K32" i="2" l="1"/>
  <c r="L25" i="2"/>
  <c r="L51" i="2" s="1"/>
  <c r="L59" i="2" s="1"/>
  <c r="L60" i="2" s="1"/>
  <c r="I60" i="2"/>
  <c r="I61" i="2" s="1"/>
  <c r="I63" i="2" s="1"/>
  <c r="J51" i="2"/>
  <c r="K54" i="2"/>
  <c r="K61" i="2" s="1"/>
  <c r="G10" i="4"/>
  <c r="G11" i="4" s="1"/>
  <c r="M53" i="2"/>
  <c r="M25" i="2"/>
  <c r="M51" i="2" s="1"/>
  <c r="M59" i="2" s="1"/>
  <c r="M60" i="2" s="1"/>
  <c r="L54" i="2" l="1"/>
  <c r="L61" i="2"/>
  <c r="C31" i="4"/>
  <c r="C33" i="4" s="1"/>
  <c r="C32" i="4"/>
  <c r="L32" i="2"/>
  <c r="M32" i="2" s="1"/>
  <c r="M54" i="2"/>
  <c r="M61" i="2" s="1"/>
  <c r="J62" i="2"/>
  <c r="I45" i="2"/>
  <c r="I46" i="2" s="1"/>
  <c r="I33" i="2"/>
  <c r="I38" i="2" s="1"/>
  <c r="J59" i="2"/>
  <c r="J60" i="2" s="1"/>
  <c r="J54" i="2"/>
  <c r="C34" i="4" l="1"/>
  <c r="C37" i="4" s="1"/>
  <c r="J61" i="2"/>
  <c r="C39" i="4" l="1"/>
  <c r="E30" i="4" s="1"/>
  <c r="C15" i="1" s="1"/>
  <c r="D15" i="1"/>
  <c r="J33" i="2"/>
  <c r="J38" i="2" s="1"/>
  <c r="J63" i="2"/>
  <c r="J45" i="2" s="1"/>
  <c r="J46" i="2" s="1"/>
  <c r="K62" i="2" l="1"/>
  <c r="K63" i="2" s="1"/>
  <c r="K33" i="2"/>
  <c r="K38" i="2" s="1"/>
  <c r="M33" i="2" l="1"/>
  <c r="M38" i="2" s="1"/>
  <c r="L33" i="2"/>
  <c r="L38" i="2" s="1"/>
  <c r="K45" i="2"/>
  <c r="K46" i="2" s="1"/>
  <c r="L62" i="2"/>
  <c r="L63" i="2" s="1"/>
  <c r="L45" i="2" l="1"/>
  <c r="L46" i="2" s="1"/>
  <c r="M62" i="2"/>
  <c r="M63" i="2" s="1"/>
  <c r="M45" i="2" s="1"/>
  <c r="M46" i="2" s="1"/>
</calcChain>
</file>

<file path=xl/sharedStrings.xml><?xml version="1.0" encoding="utf-8"?>
<sst xmlns="http://schemas.openxmlformats.org/spreadsheetml/2006/main" count="272" uniqueCount="199">
  <si>
    <t>J.B. CHEMICALS &amp; PHARMACEUTICALS LIMITED (NSE: JBCHEPHARM)</t>
  </si>
  <si>
    <t>Revenue from Operations</t>
  </si>
  <si>
    <t>Domestic Formulations</t>
  </si>
  <si>
    <t>International Formulations</t>
  </si>
  <si>
    <t>CDMO / Lozenges &amp; APIs</t>
  </si>
  <si>
    <t>Cost of Materials Consumed (COGS)</t>
  </si>
  <si>
    <t>Gross Profit</t>
  </si>
  <si>
    <t>Gross Margin %</t>
  </si>
  <si>
    <t>Employee Benefit Expenses</t>
  </si>
  <si>
    <t>Other Operating Expenses</t>
  </si>
  <si>
    <t>EBITDA (Operating Profit)</t>
  </si>
  <si>
    <t>EBITDA Margin %</t>
  </si>
  <si>
    <t>Depreciation &amp; Amortization</t>
  </si>
  <si>
    <t>Operating Profit (EBIT)</t>
  </si>
  <si>
    <t>Other Non-Operating Income</t>
  </si>
  <si>
    <t>Finance / Interest Costs</t>
  </si>
  <si>
    <t>Profit Before Tax (PBT)</t>
  </si>
  <si>
    <t>Tax Expense</t>
  </si>
  <si>
    <t>Effective Tax Rate %</t>
  </si>
  <si>
    <t>Net Profit (PAT)</t>
  </si>
  <si>
    <t xml:space="preserve">FY25 </t>
  </si>
  <si>
    <t xml:space="preserve">Line Item </t>
  </si>
  <si>
    <t>Line Item</t>
  </si>
  <si>
    <t>Domestic Formulations (₹ Cr)</t>
  </si>
  <si>
    <t>Domestic Growth Rate %</t>
  </si>
  <si>
    <t>International Formulations (₹ Cr)</t>
  </si>
  <si>
    <t>International Growth Rate %</t>
  </si>
  <si>
    <t>CDMO / Lozenges &amp; APIs (₹ Cr)</t>
  </si>
  <si>
    <t>CDMO Growth Rate %</t>
  </si>
  <si>
    <t>Total Revenue (₹ Cr)</t>
  </si>
  <si>
    <t xml:space="preserve">FY26E </t>
  </si>
  <si>
    <t xml:space="preserve">FY27E </t>
  </si>
  <si>
    <t xml:space="preserve">FY28E </t>
  </si>
  <si>
    <t xml:space="preserve">FY29E </t>
  </si>
  <si>
    <t xml:space="preserve">FY30E </t>
  </si>
  <si>
    <t>Schedule 1: Revenue Build &amp; Segment Growth Assumptions</t>
  </si>
  <si>
    <t>COGS % of Revenue</t>
  </si>
  <si>
    <t>Employee Expenses % of Revenue</t>
  </si>
  <si>
    <t>Other OpEx % of Revenue</t>
  </si>
  <si>
    <t>Calculated EBITDA Margin %</t>
  </si>
  <si>
    <t>Schedule 2: Cost Structure % Drivers</t>
  </si>
  <si>
    <t>FY25</t>
  </si>
  <si>
    <t>FY26E</t>
  </si>
  <si>
    <t>FY27E</t>
  </si>
  <si>
    <t>FY28E</t>
  </si>
  <si>
    <t>FY29E</t>
  </si>
  <si>
    <t>FY30E</t>
  </si>
  <si>
    <t>Debtor Days (DSO)</t>
  </si>
  <si>
    <t>Trade Receivables (₹ Cr)</t>
  </si>
  <si>
    <t>Inventory Days (DIO)</t>
  </si>
  <si>
    <t>Inventory (₹ Cr)</t>
  </si>
  <si>
    <t>Payable Days (DPO)</t>
  </si>
  <si>
    <t>Trade Payables (₹ Cr)</t>
  </si>
  <si>
    <t>Net Working Capital (NWC)</t>
  </si>
  <si>
    <t>Schedule 3: Working Capital Schedule</t>
  </si>
  <si>
    <t>Δ Change in NWC (₹ Cr)</t>
  </si>
  <si>
    <t>Beginning Net PP&amp;E (₹ Cr)</t>
  </si>
  <si>
    <t>CapEx % of Revenue</t>
  </si>
  <si>
    <t>CapEx Addition (₹ Cr)</t>
  </si>
  <si>
    <t>Depreciation Expense (₹ Cr)</t>
  </si>
  <si>
    <t>Ending Net PP&amp;E (₹ Cr)</t>
  </si>
  <si>
    <t>Schedule 4: PP&amp;E / CapEx &amp; Depreciation Roll-Forward Schedule</t>
  </si>
  <si>
    <t>Beginning Total Debt (₹ Cr)</t>
  </si>
  <si>
    <t>Debt Principal Repayment (₹ Cr)</t>
  </si>
  <si>
    <t>Ending Total Debt (₹ Cr)</t>
  </si>
  <si>
    <t>Interest Rate %</t>
  </si>
  <si>
    <t>Interest Expense (₹ Cr)</t>
  </si>
  <si>
    <t>Schedule 5: Debt &amp; Interest Schedule</t>
  </si>
  <si>
    <t>Line Item (Column B)</t>
  </si>
  <si>
    <t>Less: Tax on EBIT (25.2%)</t>
  </si>
  <si>
    <t>Add: Depreciation &amp; Amortization</t>
  </si>
  <si>
    <t>Less: CapEx Additions</t>
  </si>
  <si>
    <t>Less: ΔΔ Change in NWC</t>
  </si>
  <si>
    <t>Unlevered Free Cash Flow (UFCF)</t>
  </si>
  <si>
    <t>NOPAT (EBIT × 1-t)</t>
  </si>
  <si>
    <t> Unlevered Free Cash Flow (UFCF) Build</t>
  </si>
  <si>
    <t>Value</t>
  </si>
  <si>
    <t>Risk-Free Rate (RfRf​)</t>
  </si>
  <si>
    <t>Beta (ββ)</t>
  </si>
  <si>
    <t>Equity Risk Premium (ERP)</t>
  </si>
  <si>
    <t>Cost of Equity (KeKe​)</t>
  </si>
  <si>
    <t>Pre-Tax Cost of Debt (KdKd​)</t>
  </si>
  <si>
    <t>Tax Rate</t>
  </si>
  <si>
    <t>After-Tax Cost of Debt</t>
  </si>
  <si>
    <t>Weight of Equity (WeWe​)</t>
  </si>
  <si>
    <t>Weight of Debt (WdWd​)</t>
  </si>
  <si>
    <t>Weighted Average Cost of Capital (WACC)</t>
  </si>
  <si>
    <t>WACC Table</t>
  </si>
  <si>
    <t>Formula / Value</t>
  </si>
  <si>
    <t>Terminal Growth Rate (gg)</t>
  </si>
  <si>
    <t>FY30E Terminal Value (TV)</t>
  </si>
  <si>
    <t>PV of 5-Year UFCFs (FY26E–FY30E)</t>
  </si>
  <si>
    <t>PV of Terminal Value</t>
  </si>
  <si>
    <t>Enterprise Value (EV)</t>
  </si>
  <si>
    <t>Add: Cash &amp; Liquid Investments</t>
  </si>
  <si>
    <t>Less: Total Debt</t>
  </si>
  <si>
    <t>Implied Equity Value</t>
  </si>
  <si>
    <t>Shares Outstanding (Post-Split)</t>
  </si>
  <si>
    <t>Implied Standalone Share Price</t>
  </si>
  <si>
    <t>(Terminal Growth Rate →)</t>
  </si>
  <si>
    <t>(WACC ↓)</t>
  </si>
  <si>
    <t>Terminal Value &amp; Implied Share Price</t>
  </si>
  <si>
    <t>J.B. CHEMICALS &amp; PHARMACEUTICALS — KKR LBO &amp; TORRENT EXIT RETURNS MODEL</t>
  </si>
  <si>
    <t>2020 KKR Entry Share Price</t>
  </si>
  <si>
    <t>Shares Acquired (Promoter + Open Offer)</t>
  </si>
  <si>
    <t>Total KKR Entry Outlay</t>
  </si>
  <si>
    <t>Debt Financing Raised (HoldCo/NCDs)</t>
  </si>
  <si>
    <t>KKR Sponsor Equity Check</t>
  </si>
  <si>
    <t>2025 Torrent Exit Share Price</t>
  </si>
  <si>
    <t>Shares Sold at Exit (Post 1:2 Split)</t>
  </si>
  <si>
    <t>Gross Exit Equity Proceeds</t>
  </si>
  <si>
    <t>KKR Holding Period (Years)</t>
  </si>
  <si>
    <t xml:space="preserve">Value </t>
  </si>
  <si>
    <t>₹ Cr</t>
  </si>
  <si>
    <t>Equity Purchase Price (53.8% Stake)</t>
  </si>
  <si>
    <t>Advisory &amp; Financing Fees</t>
  </si>
  <si>
    <t>HoldCo Debt / Private Credit</t>
  </si>
  <si>
    <t>Total Uses of Funds</t>
  </si>
  <si>
    <t>Total Sources of Funds</t>
  </si>
  <si>
    <t>Date / Year</t>
  </si>
  <si>
    <t>Deal Event</t>
  </si>
  <si>
    <t>KKR Cash Flow (₹ Cr)</t>
  </si>
  <si>
    <t>July 2020 (Day 0)</t>
  </si>
  <si>
    <t>KKR Initial Equity Check Outflow</t>
  </si>
  <si>
    <t>FY21 (Year 1)</t>
  </si>
  <si>
    <t>Dividend Cash Collected</t>
  </si>
  <si>
    <t>FY22 (Year 2)</t>
  </si>
  <si>
    <t>FY23 (Year 3)</t>
  </si>
  <si>
    <t>FY24 (Year 4)</t>
  </si>
  <si>
    <t>Early 2025 (Exit)</t>
  </si>
  <si>
    <t>Gross Torrent Exit Proceeds</t>
  </si>
  <si>
    <t>Total Cash Returned to KKR (₹ Cr)</t>
  </si>
  <si>
    <t>Net Profit Realized (₹ Cr)</t>
  </si>
  <si>
    <t>Multiple on Invested Capital (MoIC)</t>
  </si>
  <si>
    <t>Gross Internal Rate of Return (IRR)</t>
  </si>
  <si>
    <t xml:space="preserve">Formula </t>
  </si>
  <si>
    <t>Value Creation Driver</t>
  </si>
  <si>
    <t>Value / Formula</t>
  </si>
  <si>
    <t>% Contribution</t>
  </si>
  <si>
    <t>EBITDA Expansion Gain (₹ Cr)</t>
  </si>
  <si>
    <t>Multiple Expansion Gain (₹ Cr)</t>
  </si>
  <si>
    <t>Deleveraging / Cash Sweep (₹ Cr)</t>
  </si>
  <si>
    <t>Total Equity Value Created</t>
  </si>
  <si>
    <t>FY20</t>
  </si>
  <si>
    <t>FY21</t>
  </si>
  <si>
    <t>FY22</t>
  </si>
  <si>
    <t>FY23</t>
  </si>
  <si>
    <t>FY24</t>
  </si>
  <si>
    <t>EQUITY &amp; LIABILITIES</t>
  </si>
  <si>
    <t>Equity Share Capital</t>
  </si>
  <si>
    <t>Reserves &amp; Surplus</t>
  </si>
  <si>
    <t>Total Shareholders' Equity</t>
  </si>
  <si>
    <t>Total Borrowings / Debt</t>
  </si>
  <si>
    <t>TOTAL EQUITY &amp; LIABILITIES</t>
  </si>
  <si>
    <t>Other Current Liabilities &amp; Provisions</t>
  </si>
  <si>
    <t xml:space="preserve">Trade Payables </t>
  </si>
  <si>
    <t>ASSETS</t>
  </si>
  <si>
    <t>Net PP&amp;E / Fixed Assets</t>
  </si>
  <si>
    <t>Trade Receivables</t>
  </si>
  <si>
    <t>Inventory</t>
  </si>
  <si>
    <t>Other Current &amp; Non-Current Assets</t>
  </si>
  <si>
    <t>Cash &amp; Liquid Investments</t>
  </si>
  <si>
    <t>TOTAL ASSETS</t>
  </si>
  <si>
    <t>Total Cash from Operations (CFO)</t>
  </si>
  <si>
    <t>Capital Expenditures (CapEx)</t>
  </si>
  <si>
    <t>Investment Sales / (Purchases)</t>
  </si>
  <si>
    <t>Total Cash from Investing (CFI)</t>
  </si>
  <si>
    <t>Debt Raised / (Repaid)</t>
  </si>
  <si>
    <t>Dividends Paid to Shareholders</t>
  </si>
  <si>
    <t>Total Cash from Financing (CFF)</t>
  </si>
  <si>
    <t>NET CASH FLOW</t>
  </si>
  <si>
    <t>Beginning Cash Balance</t>
  </si>
  <si>
    <t>ENDING CASH BALANCE</t>
  </si>
  <si>
    <t>DEAL SUMMARY &amp; RETURN METRICS</t>
  </si>
  <si>
    <t>KKR Entry Equity Valuation (2020)</t>
  </si>
  <si>
    <t>Torrent Exit Equity Valuation (2025)</t>
  </si>
  <si>
    <t>VALUATION BENCHMARK SUMMARY</t>
  </si>
  <si>
    <t>2020 Standalone Intrinsic DCF</t>
  </si>
  <si>
    <t>2020 KKR Buyout Entry Price</t>
  </si>
  <si>
    <t>2025 Torrent Strategic M&amp;A Exit</t>
  </si>
  <si>
    <t xml:space="preserve">Valuation Benchmark </t>
  </si>
  <si>
    <t xml:space="preserve">Implied Share Price </t>
  </si>
  <si>
    <t>Consolidated Financial Statements (Figures in ₹ Crores, unless stated)</t>
  </si>
  <si>
    <t>2025 Standalone Intrinsic DCF (Base)</t>
  </si>
  <si>
    <t>INCOME STATEMENT</t>
  </si>
  <si>
    <t>BALANCE SHEET</t>
  </si>
  <si>
    <t>CASH FLOW STATEMENT</t>
  </si>
  <si>
    <t>KEY INVESTMENT THESIS &amp; VALUE CREATION PILLARS</t>
  </si>
  <si>
    <t>Strategic Focus &amp; Financial Execution</t>
  </si>
  <si>
    <t>Pillar 1: Domestic Formulations Scale</t>
  </si>
  <si>
    <t>Expanding market share in chronic therapies (Cardiac/Gastro); leveraging market-leading brands CID, Metrogyl, Rantac &amp; Nicardia.</t>
  </si>
  <si>
    <t>Pillar 2: High-Margin CDMO &amp; Lozenges</t>
  </si>
  <si>
    <t>Global CDMO partnerships with tier-1 pharma; specialized lozenges manufacturing platform exporting across 40+ countries.</t>
  </si>
  <si>
    <t>Pillar 3: Operating Leverage &amp; Cash Flow</t>
  </si>
  <si>
    <t>Expanded EBITDA margins from 21.3% to 26.7%; strong CFO generation paying down debt and supporting 35% dividend payout policy.</t>
  </si>
  <si>
    <t>Value (₹ Cr)</t>
  </si>
  <si>
    <t>Implied Equity Value (₹ Cr)</t>
  </si>
  <si>
    <t>Uses of Funds (Where Money Went) (₹ Cr)</t>
  </si>
  <si>
    <t>Sources of Funds (How Paid For)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</si>
</sst>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%"/>
    <numFmt numFmtId="165" formatCode="0.00&quot;x&quot;"/>
    <numFmt numFmtId="166" formatCode="#,##0.00;\(#,##0.00\);&quot;-&quot;"/>
    <numFmt numFmtId="167" formatCode="&quot;₹&quot;#,##0.00;[Red]\(&quot;₹&quot;#,##0.00\);&quot;-&quot;"/>
    <numFmt numFmtId="168" formatCode="&quot;₹&quot;#,##0.00&quot; / share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1"/>
      <color rgb="FF004E9A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2096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02096"/>
      <name val="Calibri"/>
      <family val="2"/>
    </font>
    <font>
      <b/>
      <sz val="14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10" fontId="0" fillId="0" borderId="0" xfId="1" applyNumberFormat="1" applyFont="1"/>
    <xf numFmtId="166" fontId="0" fillId="0" borderId="0" xfId="0" applyNumberFormat="1"/>
    <xf numFmtId="166" fontId="4" fillId="0" borderId="0" xfId="0" applyNumberFormat="1" applyFont="1"/>
    <xf numFmtId="166" fontId="2" fillId="0" borderId="0" xfId="0" applyNumberFormat="1" applyFont="1"/>
    <xf numFmtId="0" fontId="7" fillId="2" borderId="0" xfId="0" applyFont="1" applyFill="1"/>
    <xf numFmtId="166" fontId="7" fillId="2" borderId="0" xfId="0" applyNumberFormat="1" applyFont="1" applyFill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2" fontId="9" fillId="0" borderId="0" xfId="0" applyNumberFormat="1" applyFont="1"/>
    <xf numFmtId="165" fontId="9" fillId="0" borderId="0" xfId="0" applyNumberFormat="1" applyFont="1"/>
    <xf numFmtId="10" fontId="9" fillId="0" borderId="0" xfId="0" applyNumberFormat="1" applyFont="1"/>
    <xf numFmtId="166" fontId="9" fillId="0" borderId="0" xfId="0" applyNumberFormat="1" applyFont="1"/>
    <xf numFmtId="10" fontId="9" fillId="0" borderId="0" xfId="1" applyNumberFormat="1" applyFont="1" applyFill="1"/>
    <xf numFmtId="0" fontId="13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/>
    <xf numFmtId="4" fontId="10" fillId="0" borderId="0" xfId="0" applyNumberFormat="1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/>
    <xf numFmtId="10" fontId="10" fillId="0" borderId="0" xfId="0" applyNumberFormat="1" applyFont="1"/>
    <xf numFmtId="4" fontId="9" fillId="0" borderId="0" xfId="0" applyNumberFormat="1" applyFont="1"/>
    <xf numFmtId="0" fontId="8" fillId="0" borderId="0" xfId="0" applyFont="1"/>
    <xf numFmtId="164" fontId="10" fillId="0" borderId="0" xfId="0" applyNumberFormat="1" applyFont="1"/>
    <xf numFmtId="0" fontId="15" fillId="0" borderId="0" xfId="0" applyFont="1"/>
    <xf numFmtId="8" fontId="10" fillId="0" borderId="0" xfId="0" applyNumberFormat="1" applyFont="1"/>
    <xf numFmtId="0" fontId="16" fillId="2" borderId="0" xfId="0" applyFont="1" applyFill="1"/>
    <xf numFmtId="165" fontId="9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166" fontId="8" fillId="0" borderId="0" xfId="0" applyNumberFormat="1" applyFont="1"/>
    <xf numFmtId="166" fontId="10" fillId="4" borderId="0" xfId="0" applyNumberFormat="1" applyFont="1" applyFill="1"/>
    <xf numFmtId="166" fontId="17" fillId="0" borderId="0" xfId="0" applyNumberFormat="1" applyFont="1"/>
    <xf numFmtId="166" fontId="10" fillId="5" borderId="0" xfId="0" applyNumberFormat="1" applyFont="1" applyFill="1"/>
    <xf numFmtId="166" fontId="2" fillId="5" borderId="0" xfId="0" applyNumberFormat="1" applyFont="1" applyFill="1"/>
    <xf numFmtId="166" fontId="10" fillId="0" borderId="0" xfId="0" applyNumberFormat="1" applyFont="1"/>
    <xf numFmtId="0" fontId="19" fillId="0" borderId="0" xfId="0" applyFont="1" applyAlignment="1">
      <alignment vertical="center"/>
    </xf>
    <xf numFmtId="0" fontId="13" fillId="0" borderId="0" xfId="0" applyFont="1" applyAlignment="1">
      <alignment wrapText="1"/>
    </xf>
    <xf numFmtId="166" fontId="11" fillId="0" borderId="0" xfId="0" applyNumberFormat="1" applyFont="1"/>
    <xf numFmtId="166" fontId="20" fillId="0" borderId="0" xfId="0" applyNumberFormat="1" applyFont="1"/>
    <xf numFmtId="166" fontId="18" fillId="0" borderId="0" xfId="0" applyNumberFormat="1" applyFont="1"/>
    <xf numFmtId="166" fontId="20" fillId="4" borderId="0" xfId="0" applyNumberFormat="1" applyFont="1" applyFill="1"/>
    <xf numFmtId="166" fontId="10" fillId="3" borderId="0" xfId="0" applyNumberFormat="1" applyFont="1" applyFill="1"/>
    <xf numFmtId="0" fontId="21" fillId="0" borderId="0" xfId="0" applyFont="1"/>
    <xf numFmtId="3" fontId="20" fillId="0" borderId="0" xfId="0" applyNumberFormat="1" applyFont="1"/>
    <xf numFmtId="10" fontId="18" fillId="0" borderId="0" xfId="0" applyNumberFormat="1" applyFont="1"/>
    <xf numFmtId="4" fontId="20" fillId="0" borderId="0" xfId="0" applyNumberFormat="1" applyFont="1"/>
    <xf numFmtId="2" fontId="20" fillId="0" borderId="0" xfId="0" applyNumberFormat="1" applyFont="1"/>
    <xf numFmtId="10" fontId="20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top"/>
    </xf>
    <xf numFmtId="0" fontId="20" fillId="0" borderId="0" xfId="0" applyFont="1"/>
    <xf numFmtId="3" fontId="18" fillId="0" borderId="0" xfId="0" applyNumberFormat="1" applyFont="1"/>
    <xf numFmtId="4" fontId="18" fillId="0" borderId="0" xfId="0" applyNumberFormat="1" applyFont="1"/>
    <xf numFmtId="2" fontId="18" fillId="0" borderId="0" xfId="0" applyNumberFormat="1" applyFont="1"/>
    <xf numFmtId="167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7" fontId="9" fillId="0" borderId="0" xfId="2" applyNumberFormat="1" applyFont="1" applyFill="1" applyAlignment="1">
      <alignment horizontal="right"/>
    </xf>
    <xf numFmtId="168" fontId="10" fillId="0" borderId="0" xfId="0" applyNumberFormat="1" applyFont="1"/>
    <xf numFmtId="167" fontId="10" fillId="0" borderId="0" xfId="0" applyNumberFormat="1" applyFont="1"/>
    <xf numFmtId="167" fontId="9" fillId="0" borderId="0" xfId="0" applyNumberFormat="1" applyFont="1"/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8" fontId="9" fillId="0" borderId="0" xfId="2" applyNumberFormat="1" applyFont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F9FF-E169-4F7F-AD37-1C08ABD75A60}">
  <dimension ref="A1:D21"/>
  <sheetViews>
    <sheetView tabSelected="1" topLeftCell="A4" workbookViewId="0">
      <selection activeCell="C13" sqref="C13"/>
    </sheetView>
  </sheetViews>
  <sheetFormatPr defaultRowHeight="14.4" x14ac:dyDescent="0.3"/>
  <cols>
    <col min="1" max="1" width="3.77734375" customWidth="1"/>
    <col min="2" max="2" width="42.77734375" customWidth="1"/>
    <col min="3" max="3" width="32.33203125" bestFit="1" customWidth="1"/>
    <col min="4" max="4" width="26.33203125" bestFit="1" customWidth="1"/>
  </cols>
  <sheetData>
    <row r="1" spans="1:4" ht="18" customHeight="1" x14ac:dyDescent="0.3">
      <c r="A1" s="70" t="s">
        <v>0</v>
      </c>
      <c r="B1" s="70"/>
      <c r="C1" s="70"/>
      <c r="D1" s="70"/>
    </row>
    <row r="2" spans="1:4" ht="18" customHeight="1" x14ac:dyDescent="0.3">
      <c r="A2" s="70"/>
      <c r="B2" s="70"/>
      <c r="C2" s="70"/>
      <c r="D2" s="70"/>
    </row>
    <row r="3" spans="1:4" x14ac:dyDescent="0.3">
      <c r="A3" s="14"/>
      <c r="B3" s="14"/>
      <c r="C3" s="14"/>
      <c r="D3" s="14"/>
    </row>
    <row r="4" spans="1:4" ht="15.6" x14ac:dyDescent="0.3">
      <c r="A4" s="15"/>
      <c r="B4" s="10" t="s">
        <v>21</v>
      </c>
      <c r="C4" s="10" t="s">
        <v>195</v>
      </c>
      <c r="D4" s="14"/>
    </row>
    <row r="5" spans="1:4" x14ac:dyDescent="0.3">
      <c r="A5" s="14"/>
      <c r="B5" s="14" t="s">
        <v>173</v>
      </c>
      <c r="C5" s="14"/>
      <c r="D5" s="14"/>
    </row>
    <row r="6" spans="1:4" x14ac:dyDescent="0.3">
      <c r="A6" s="14"/>
      <c r="B6" s="14" t="s">
        <v>174</v>
      </c>
      <c r="C6" s="64">
        <v>5788</v>
      </c>
      <c r="D6" s="14"/>
    </row>
    <row r="7" spans="1:4" x14ac:dyDescent="0.3">
      <c r="A7" s="14"/>
      <c r="B7" s="14" t="s">
        <v>175</v>
      </c>
      <c r="C7" s="64">
        <v>25689</v>
      </c>
      <c r="D7" s="14"/>
    </row>
    <row r="8" spans="1:4" x14ac:dyDescent="0.3">
      <c r="A8" s="14"/>
      <c r="B8" s="14" t="s">
        <v>133</v>
      </c>
      <c r="C8" s="37">
        <f>'05_LBO_Returns'!C37</f>
        <v>5.9300780752361373</v>
      </c>
      <c r="D8" s="14"/>
    </row>
    <row r="9" spans="1:4" x14ac:dyDescent="0.3">
      <c r="A9" s="14"/>
      <c r="B9" s="14" t="s">
        <v>134</v>
      </c>
      <c r="C9" s="38">
        <v>0.48499999999999999</v>
      </c>
      <c r="D9" s="14"/>
    </row>
    <row r="10" spans="1:4" x14ac:dyDescent="0.3">
      <c r="A10" s="14"/>
      <c r="B10" s="14"/>
      <c r="C10" s="14"/>
      <c r="D10" s="14"/>
    </row>
    <row r="11" spans="1:4" ht="15.6" x14ac:dyDescent="0.3">
      <c r="A11" s="15"/>
      <c r="B11" s="10" t="s">
        <v>180</v>
      </c>
      <c r="C11" s="10" t="s">
        <v>181</v>
      </c>
      <c r="D11" s="10" t="s">
        <v>196</v>
      </c>
    </row>
    <row r="12" spans="1:4" x14ac:dyDescent="0.3">
      <c r="A12" s="14"/>
      <c r="B12" s="15" t="s">
        <v>176</v>
      </c>
      <c r="C12" s="14"/>
      <c r="D12" s="14"/>
    </row>
    <row r="13" spans="1:4" x14ac:dyDescent="0.3">
      <c r="A13" s="14"/>
      <c r="B13" s="14" t="s">
        <v>177</v>
      </c>
      <c r="C13" s="76">
        <v>320</v>
      </c>
      <c r="D13" s="66">
        <v>4972</v>
      </c>
    </row>
    <row r="14" spans="1:4" x14ac:dyDescent="0.3">
      <c r="A14" s="14"/>
      <c r="B14" s="14" t="s">
        <v>178</v>
      </c>
      <c r="C14" s="76">
        <v>372.5</v>
      </c>
      <c r="D14" s="64">
        <v>5788</v>
      </c>
    </row>
    <row r="15" spans="1:4" x14ac:dyDescent="0.3">
      <c r="A15" s="14"/>
      <c r="B15" s="17" t="s">
        <v>183</v>
      </c>
      <c r="C15" s="65">
        <f>'04_DCF_Valuation'!E30</f>
        <v>852.60236281472794</v>
      </c>
      <c r="D15" s="64">
        <f>'04_DCF_Valuation'!C37</f>
        <v>13249.440718140871</v>
      </c>
    </row>
    <row r="16" spans="1:4" x14ac:dyDescent="0.3">
      <c r="A16" s="14"/>
      <c r="B16" s="14" t="s">
        <v>179</v>
      </c>
      <c r="C16" s="65">
        <v>1600</v>
      </c>
      <c r="D16" s="64">
        <v>25689</v>
      </c>
    </row>
    <row r="17" spans="1:4" x14ac:dyDescent="0.3">
      <c r="A17" s="22"/>
      <c r="B17" s="22"/>
      <c r="C17" s="22"/>
      <c r="D17" s="22"/>
    </row>
    <row r="18" spans="1:4" x14ac:dyDescent="0.3">
      <c r="A18" s="22"/>
      <c r="B18" s="36" t="s">
        <v>187</v>
      </c>
      <c r="C18" s="36" t="s">
        <v>188</v>
      </c>
      <c r="D18" s="36"/>
    </row>
    <row r="19" spans="1:4" ht="86.4" x14ac:dyDescent="0.3">
      <c r="A19" s="22"/>
      <c r="B19" s="45" t="s">
        <v>189</v>
      </c>
      <c r="C19" s="46" t="s">
        <v>190</v>
      </c>
      <c r="D19" s="46"/>
    </row>
    <row r="20" spans="1:4" ht="86.4" x14ac:dyDescent="0.3">
      <c r="A20" s="22"/>
      <c r="B20" s="45" t="s">
        <v>191</v>
      </c>
      <c r="C20" s="46" t="s">
        <v>192</v>
      </c>
      <c r="D20" s="46"/>
    </row>
    <row r="21" spans="1:4" ht="57.6" x14ac:dyDescent="0.3">
      <c r="A21" s="22"/>
      <c r="B21" s="45" t="s">
        <v>193</v>
      </c>
      <c r="C21" s="46" t="s">
        <v>194</v>
      </c>
      <c r="D21" s="46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6C4D-F406-488D-9EBA-E8477FB10695}">
  <dimension ref="A1:M63"/>
  <sheetViews>
    <sheetView topLeftCell="A28" zoomScale="87" zoomScaleNormal="99" workbookViewId="0">
      <selection activeCell="B48" sqref="B48"/>
    </sheetView>
  </sheetViews>
  <sheetFormatPr defaultRowHeight="14.4" x14ac:dyDescent="0.3"/>
  <cols>
    <col min="1" max="1" width="3.77734375" style="7" customWidth="1"/>
    <col min="2" max="2" width="42.77734375" style="7" customWidth="1"/>
    <col min="3" max="13" width="14.77734375" style="7" customWidth="1"/>
    <col min="14" max="16384" width="8.88671875" style="7"/>
  </cols>
  <sheetData>
    <row r="1" spans="1:13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39"/>
      <c r="M1" s="20"/>
    </row>
    <row r="2" spans="1:13" ht="15.6" x14ac:dyDescent="0.3">
      <c r="A2" s="72" t="s">
        <v>182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20"/>
      <c r="M2" s="20"/>
    </row>
    <row r="3" spans="1:13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8" x14ac:dyDescent="0.35">
      <c r="A4" s="20"/>
      <c r="B4" s="39" t="s">
        <v>184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15.6" x14ac:dyDescent="0.3">
      <c r="A5" s="20"/>
      <c r="B5" s="47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ht="15.6" x14ac:dyDescent="0.3">
      <c r="A6" s="20"/>
      <c r="B6" s="11" t="s">
        <v>22</v>
      </c>
      <c r="C6" s="11" t="s">
        <v>143</v>
      </c>
      <c r="D6" s="11" t="s">
        <v>144</v>
      </c>
      <c r="E6" s="11" t="s">
        <v>145</v>
      </c>
      <c r="F6" s="11" t="s">
        <v>146</v>
      </c>
      <c r="G6" s="11" t="s">
        <v>147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  <c r="M6" s="11" t="s">
        <v>46</v>
      </c>
    </row>
    <row r="7" spans="1:13" x14ac:dyDescent="0.3">
      <c r="A7" s="44"/>
      <c r="B7" s="44" t="s">
        <v>1</v>
      </c>
      <c r="C7" s="48">
        <v>1775</v>
      </c>
      <c r="D7" s="48">
        <v>2043</v>
      </c>
      <c r="E7" s="48">
        <v>2424</v>
      </c>
      <c r="F7" s="48">
        <v>3149</v>
      </c>
      <c r="G7" s="48">
        <v>3484</v>
      </c>
      <c r="H7" s="48">
        <v>3918</v>
      </c>
      <c r="I7" s="44">
        <f>I8+I9+I10</f>
        <v>4313.0250000000005</v>
      </c>
      <c r="J7" s="44">
        <f t="shared" ref="J7:M7" si="0">J8+J9+J10</f>
        <v>4748.3628750000007</v>
      </c>
      <c r="K7" s="44">
        <f t="shared" si="0"/>
        <v>5228.1727818750005</v>
      </c>
      <c r="L7" s="44">
        <f t="shared" si="0"/>
        <v>5730.906286800001</v>
      </c>
      <c r="M7" s="44">
        <f t="shared" si="0"/>
        <v>6262.3431965835016</v>
      </c>
    </row>
    <row r="8" spans="1:13" x14ac:dyDescent="0.3">
      <c r="A8" s="20"/>
      <c r="B8" s="20" t="s">
        <v>2</v>
      </c>
      <c r="C8" s="49">
        <v>782</v>
      </c>
      <c r="D8" s="49">
        <v>893</v>
      </c>
      <c r="E8" s="49">
        <v>1120</v>
      </c>
      <c r="F8" s="49">
        <v>1640</v>
      </c>
      <c r="G8" s="49">
        <v>1902</v>
      </c>
      <c r="H8" s="49">
        <v>2145</v>
      </c>
      <c r="I8" s="20">
        <f>'03_Schedules'!D5</f>
        <v>2380.9500000000003</v>
      </c>
      <c r="J8" s="20">
        <f>'03_Schedules'!E5</f>
        <v>2642.8545000000004</v>
      </c>
      <c r="K8" s="20">
        <f>'03_Schedules'!F5</f>
        <v>2933.5684950000009</v>
      </c>
      <c r="L8" s="20">
        <f>'03_Schedules'!G5</f>
        <v>3241.5931869750011</v>
      </c>
      <c r="M8" s="20">
        <f>'03_Schedules'!H5</f>
        <v>3565.7525056725017</v>
      </c>
    </row>
    <row r="9" spans="1:13" x14ac:dyDescent="0.3">
      <c r="A9" s="20"/>
      <c r="B9" s="20" t="s">
        <v>3</v>
      </c>
      <c r="C9" s="49">
        <v>728</v>
      </c>
      <c r="D9" s="49">
        <v>845</v>
      </c>
      <c r="E9" s="49">
        <v>948</v>
      </c>
      <c r="F9" s="49">
        <v>1050</v>
      </c>
      <c r="G9" s="49">
        <v>1105</v>
      </c>
      <c r="H9" s="49">
        <v>1215</v>
      </c>
      <c r="I9" s="20">
        <f>'03_Schedules'!D7</f>
        <v>1318.2749999999999</v>
      </c>
      <c r="J9" s="20">
        <f>'03_Schedules'!E7</f>
        <v>1430.3283749999998</v>
      </c>
      <c r="K9" s="20">
        <f>'03_Schedules'!F7</f>
        <v>1551.9062868749998</v>
      </c>
      <c r="L9" s="20">
        <f>'03_Schedules'!G7</f>
        <v>1676.0587898249998</v>
      </c>
      <c r="M9" s="20">
        <f>'03_Schedules'!H7</f>
        <v>1810.1434930109999</v>
      </c>
    </row>
    <row r="10" spans="1:13" x14ac:dyDescent="0.3">
      <c r="A10" s="20"/>
      <c r="B10" s="20" t="s">
        <v>4</v>
      </c>
      <c r="C10" s="49">
        <v>265</v>
      </c>
      <c r="D10" s="49">
        <v>305</v>
      </c>
      <c r="E10" s="49">
        <v>356</v>
      </c>
      <c r="F10" s="49">
        <v>459</v>
      </c>
      <c r="G10" s="49">
        <v>477</v>
      </c>
      <c r="H10" s="49">
        <v>558</v>
      </c>
      <c r="I10" s="20">
        <f>'03_Schedules'!D9</f>
        <v>613.80000000000007</v>
      </c>
      <c r="J10" s="20">
        <f>'03_Schedules'!E9</f>
        <v>675.18000000000018</v>
      </c>
      <c r="K10" s="20">
        <f>'03_Schedules'!F9</f>
        <v>742.69800000000021</v>
      </c>
      <c r="L10" s="20">
        <f>'03_Schedules'!G9</f>
        <v>813.25431000000026</v>
      </c>
      <c r="M10" s="20">
        <f>'03_Schedules'!H9</f>
        <v>886.44719790000033</v>
      </c>
    </row>
    <row r="11" spans="1:13" x14ac:dyDescent="0.3">
      <c r="A11" s="20"/>
      <c r="B11" s="40" t="s">
        <v>5</v>
      </c>
      <c r="C11" s="50">
        <v>619</v>
      </c>
      <c r="D11" s="50">
        <v>711</v>
      </c>
      <c r="E11" s="50">
        <v>902</v>
      </c>
      <c r="F11" s="50">
        <v>1102</v>
      </c>
      <c r="G11" s="50">
        <v>1219</v>
      </c>
      <c r="H11" s="50">
        <v>1371</v>
      </c>
      <c r="I11" s="40">
        <f>I7*'03_Schedules'!C16</f>
        <v>1500.9327000000001</v>
      </c>
      <c r="J11" s="40">
        <f>J7*'03_Schedules'!D16</f>
        <v>1652.4302805000002</v>
      </c>
      <c r="K11" s="40">
        <f>K7*'03_Schedules'!E16</f>
        <v>1819.4041280925001</v>
      </c>
      <c r="L11" s="40">
        <f>L7*'03_Schedules'!F16</f>
        <v>1977.1626689460002</v>
      </c>
      <c r="M11" s="40">
        <f>M7*'03_Schedules'!G16</f>
        <v>2160.5084028213078</v>
      </c>
    </row>
    <row r="12" spans="1:13" x14ac:dyDescent="0.3">
      <c r="A12" s="20"/>
      <c r="B12" s="40" t="s">
        <v>6</v>
      </c>
      <c r="C12" s="40">
        <f t="shared" ref="C12:I12" si="1">C7-C11</f>
        <v>1156</v>
      </c>
      <c r="D12" s="40">
        <f t="shared" si="1"/>
        <v>1332</v>
      </c>
      <c r="E12" s="40">
        <f t="shared" si="1"/>
        <v>1522</v>
      </c>
      <c r="F12" s="40">
        <f t="shared" si="1"/>
        <v>2047</v>
      </c>
      <c r="G12" s="40">
        <f t="shared" si="1"/>
        <v>2265</v>
      </c>
      <c r="H12" s="40">
        <f t="shared" si="1"/>
        <v>2547</v>
      </c>
      <c r="I12" s="40">
        <f t="shared" si="1"/>
        <v>2812.0923000000003</v>
      </c>
      <c r="J12" s="40">
        <f t="shared" ref="J12:M12" si="2">J7-J11</f>
        <v>3095.9325945000005</v>
      </c>
      <c r="K12" s="40">
        <f t="shared" si="2"/>
        <v>3408.7686537825002</v>
      </c>
      <c r="L12" s="40">
        <f t="shared" si="2"/>
        <v>3753.7436178540011</v>
      </c>
      <c r="M12" s="40">
        <f t="shared" si="2"/>
        <v>4101.8347937621938</v>
      </c>
    </row>
    <row r="13" spans="1:13" s="6" customFormat="1" x14ac:dyDescent="0.3">
      <c r="A13" s="21"/>
      <c r="B13" s="21" t="s">
        <v>7</v>
      </c>
      <c r="C13" s="21">
        <f t="shared" ref="C13:I13" si="3">C12/C7</f>
        <v>0.65126760563380282</v>
      </c>
      <c r="D13" s="21">
        <f t="shared" si="3"/>
        <v>0.65198237885462551</v>
      </c>
      <c r="E13" s="21">
        <f t="shared" si="3"/>
        <v>0.62788778877887785</v>
      </c>
      <c r="F13" s="21">
        <f t="shared" si="3"/>
        <v>0.65004763416957767</v>
      </c>
      <c r="G13" s="21">
        <f t="shared" si="3"/>
        <v>0.65011481056257181</v>
      </c>
      <c r="H13" s="21">
        <f t="shared" si="3"/>
        <v>0.65007656967840732</v>
      </c>
      <c r="I13" s="21">
        <f t="shared" si="3"/>
        <v>0.65200000000000002</v>
      </c>
      <c r="J13" s="21">
        <f t="shared" ref="J13:M13" si="4">J12/J7</f>
        <v>0.65200000000000002</v>
      </c>
      <c r="K13" s="21">
        <f t="shared" si="4"/>
        <v>0.65200000000000002</v>
      </c>
      <c r="L13" s="21">
        <f t="shared" si="4"/>
        <v>0.65500000000000003</v>
      </c>
      <c r="M13" s="21">
        <f t="shared" si="4"/>
        <v>0.65500000000000003</v>
      </c>
    </row>
    <row r="14" spans="1:13" x14ac:dyDescent="0.3">
      <c r="A14" s="20"/>
      <c r="B14" s="20" t="s">
        <v>8</v>
      </c>
      <c r="C14" s="49">
        <v>338</v>
      </c>
      <c r="D14" s="49">
        <v>368</v>
      </c>
      <c r="E14" s="49">
        <v>451</v>
      </c>
      <c r="F14" s="49">
        <v>585</v>
      </c>
      <c r="G14" s="49">
        <v>632</v>
      </c>
      <c r="H14" s="49">
        <v>705</v>
      </c>
      <c r="I14" s="20">
        <f>I7*'03_Schedules'!C17</f>
        <v>776.34450000000004</v>
      </c>
      <c r="J14" s="20">
        <f>J7*'03_Schedules'!D17</f>
        <v>845.2085917500001</v>
      </c>
      <c r="K14" s="20">
        <f>K7*'03_Schedules'!E17</f>
        <v>914.93023682812498</v>
      </c>
      <c r="L14" s="20">
        <f>L7*'03_Schedules'!F17</f>
        <v>991.44678761640012</v>
      </c>
      <c r="M14" s="20">
        <f>M7*'03_Schedules'!G17</f>
        <v>1064.5983434191953</v>
      </c>
    </row>
    <row r="15" spans="1:13" x14ac:dyDescent="0.3">
      <c r="A15" s="20"/>
      <c r="B15" s="40" t="s">
        <v>9</v>
      </c>
      <c r="C15" s="50">
        <v>440</v>
      </c>
      <c r="D15" s="50">
        <v>404</v>
      </c>
      <c r="E15" s="50">
        <v>528</v>
      </c>
      <c r="F15" s="50">
        <v>766</v>
      </c>
      <c r="G15" s="50">
        <v>736</v>
      </c>
      <c r="H15" s="50">
        <v>810</v>
      </c>
      <c r="I15" s="40">
        <f>I7*'03_Schedules'!C18</f>
        <v>884.1701250000001</v>
      </c>
      <c r="J15" s="40">
        <f>J7*'03_Schedules'!D18</f>
        <v>973.41438937500004</v>
      </c>
      <c r="K15" s="40">
        <f>K7*'03_Schedules'!E18</f>
        <v>1071.7754202843751</v>
      </c>
      <c r="L15" s="40">
        <f>L7*'03_Schedules'!F18</f>
        <v>1163.3739762204002</v>
      </c>
      <c r="M15" s="40">
        <f>M7*'03_Schedules'!G18</f>
        <v>1252.4686393167003</v>
      </c>
    </row>
    <row r="16" spans="1:13" s="9" customFormat="1" x14ac:dyDescent="0.3">
      <c r="A16" s="44"/>
      <c r="B16" s="40" t="s">
        <v>10</v>
      </c>
      <c r="C16" s="40">
        <f>C12-C14-C15</f>
        <v>378</v>
      </c>
      <c r="D16" s="40">
        <f t="shared" ref="D16:H16" si="5">D12-D14-D15</f>
        <v>560</v>
      </c>
      <c r="E16" s="40">
        <f t="shared" si="5"/>
        <v>543</v>
      </c>
      <c r="F16" s="40">
        <f t="shared" si="5"/>
        <v>696</v>
      </c>
      <c r="G16" s="40">
        <f t="shared" si="5"/>
        <v>897</v>
      </c>
      <c r="H16" s="40">
        <f t="shared" si="5"/>
        <v>1032</v>
      </c>
      <c r="I16" s="40">
        <f>I12-I14-I15</f>
        <v>1151.577675</v>
      </c>
      <c r="J16" s="40">
        <f t="shared" ref="J16:M16" si="6">J12-J14-J15</f>
        <v>1277.309613375</v>
      </c>
      <c r="K16" s="40">
        <f t="shared" si="6"/>
        <v>1422.0629966700001</v>
      </c>
      <c r="L16" s="40">
        <f t="shared" si="6"/>
        <v>1598.922854017201</v>
      </c>
      <c r="M16" s="40">
        <f t="shared" si="6"/>
        <v>1784.7678110262982</v>
      </c>
    </row>
    <row r="17" spans="1:13" s="6" customFormat="1" x14ac:dyDescent="0.3">
      <c r="A17" s="21"/>
      <c r="B17" s="21" t="s">
        <v>11</v>
      </c>
      <c r="C17" s="21">
        <f>C16/C7</f>
        <v>0.21295774647887325</v>
      </c>
      <c r="D17" s="21">
        <f t="shared" ref="D17:H17" si="7">D16/D7</f>
        <v>0.27410670582476748</v>
      </c>
      <c r="E17" s="21">
        <f t="shared" si="7"/>
        <v>0.22400990099009901</v>
      </c>
      <c r="F17" s="21">
        <f t="shared" si="7"/>
        <v>0.22102254684026676</v>
      </c>
      <c r="G17" s="21">
        <f t="shared" si="7"/>
        <v>0.2574626865671642</v>
      </c>
      <c r="H17" s="21">
        <f t="shared" si="7"/>
        <v>0.26339969372128635</v>
      </c>
      <c r="I17" s="21">
        <f>I16/I7</f>
        <v>0.26699999999999996</v>
      </c>
      <c r="J17" s="21">
        <f t="shared" ref="J17:M17" si="8">J16/J7</f>
        <v>0.26899999999999996</v>
      </c>
      <c r="K17" s="21">
        <f t="shared" si="8"/>
        <v>0.27199999999999996</v>
      </c>
      <c r="L17" s="21">
        <f t="shared" si="8"/>
        <v>0.27900000000000014</v>
      </c>
      <c r="M17" s="21">
        <f t="shared" si="8"/>
        <v>0.28500000000000003</v>
      </c>
    </row>
    <row r="18" spans="1:13" x14ac:dyDescent="0.3">
      <c r="A18" s="20"/>
      <c r="B18" s="40" t="s">
        <v>12</v>
      </c>
      <c r="C18" s="50">
        <v>66</v>
      </c>
      <c r="D18" s="50">
        <v>69</v>
      </c>
      <c r="E18" s="50">
        <v>73</v>
      </c>
      <c r="F18" s="50">
        <v>114</v>
      </c>
      <c r="G18" s="50">
        <v>138</v>
      </c>
      <c r="H18" s="50">
        <v>171</v>
      </c>
      <c r="I18" s="40">
        <f>'03_Schedules'!D39</f>
        <v>137.73213187500002</v>
      </c>
      <c r="J18" s="40">
        <f>'03_Schedules'!E39</f>
        <v>139.58206884375002</v>
      </c>
      <c r="K18" s="40">
        <f>'03_Schedules'!F39</f>
        <v>142.4033274476719</v>
      </c>
      <c r="L18" s="40">
        <f>'03_Schedules'!G39</f>
        <v>145.06739624011726</v>
      </c>
      <c r="M18" s="40">
        <f>'03_Schedules'!H39</f>
        <v>147.84958471784745</v>
      </c>
    </row>
    <row r="19" spans="1:13" x14ac:dyDescent="0.3">
      <c r="A19" s="44"/>
      <c r="B19" s="40" t="s">
        <v>13</v>
      </c>
      <c r="C19" s="40">
        <f>C16-C18</f>
        <v>312</v>
      </c>
      <c r="D19" s="40">
        <f t="shared" ref="D19:H19" si="9">D16-D18</f>
        <v>491</v>
      </c>
      <c r="E19" s="40">
        <f t="shared" si="9"/>
        <v>470</v>
      </c>
      <c r="F19" s="40">
        <f t="shared" si="9"/>
        <v>582</v>
      </c>
      <c r="G19" s="40">
        <f t="shared" si="9"/>
        <v>759</v>
      </c>
      <c r="H19" s="40">
        <f t="shared" si="9"/>
        <v>861</v>
      </c>
      <c r="I19" s="40">
        <f>I16-I18</f>
        <v>1013.8455431249999</v>
      </c>
      <c r="J19" s="40">
        <f t="shared" ref="J19:M19" si="10">J16-J18</f>
        <v>1137.72754453125</v>
      </c>
      <c r="K19" s="40">
        <f t="shared" si="10"/>
        <v>1279.6596692223281</v>
      </c>
      <c r="L19" s="40">
        <f t="shared" si="10"/>
        <v>1453.8554577770838</v>
      </c>
      <c r="M19" s="40">
        <f t="shared" si="10"/>
        <v>1636.9182263084508</v>
      </c>
    </row>
    <row r="20" spans="1:13" x14ac:dyDescent="0.3">
      <c r="A20" s="20"/>
      <c r="B20" s="20" t="s">
        <v>14</v>
      </c>
      <c r="C20" s="49">
        <v>41</v>
      </c>
      <c r="D20" s="49">
        <v>112</v>
      </c>
      <c r="E20" s="49">
        <v>39</v>
      </c>
      <c r="F20" s="49">
        <v>10</v>
      </c>
      <c r="G20" s="49">
        <v>37</v>
      </c>
      <c r="H20" s="49">
        <v>38</v>
      </c>
      <c r="I20" s="49">
        <v>38</v>
      </c>
      <c r="J20" s="49">
        <v>38</v>
      </c>
      <c r="K20" s="49">
        <v>38</v>
      </c>
      <c r="L20" s="49">
        <v>38</v>
      </c>
      <c r="M20" s="49">
        <v>38</v>
      </c>
    </row>
    <row r="21" spans="1:13" x14ac:dyDescent="0.3">
      <c r="A21" s="20"/>
      <c r="B21" s="40" t="s">
        <v>15</v>
      </c>
      <c r="C21" s="50">
        <v>3</v>
      </c>
      <c r="D21" s="50">
        <v>7</v>
      </c>
      <c r="E21" s="50">
        <v>5</v>
      </c>
      <c r="F21" s="50">
        <v>36</v>
      </c>
      <c r="G21" s="50">
        <v>44</v>
      </c>
      <c r="H21" s="50">
        <v>12</v>
      </c>
      <c r="I21" s="40">
        <f>'03_Schedules'!D49</f>
        <v>1.1900000000000002</v>
      </c>
      <c r="J21" s="40">
        <f>'03_Schedules'!E49</f>
        <v>0</v>
      </c>
      <c r="K21" s="40">
        <f>'03_Schedules'!F49</f>
        <v>0</v>
      </c>
      <c r="L21" s="40">
        <f>'03_Schedules'!G49</f>
        <v>0</v>
      </c>
      <c r="M21" s="40">
        <f>'03_Schedules'!H49</f>
        <v>0</v>
      </c>
    </row>
    <row r="22" spans="1:13" x14ac:dyDescent="0.3">
      <c r="A22" s="44"/>
      <c r="B22" s="40" t="s">
        <v>16</v>
      </c>
      <c r="C22" s="40">
        <f>C19+C20-C21</f>
        <v>350</v>
      </c>
      <c r="D22" s="40">
        <f t="shared" ref="D22:H22" si="11">D19+D20-D21</f>
        <v>596</v>
      </c>
      <c r="E22" s="40">
        <f t="shared" si="11"/>
        <v>504</v>
      </c>
      <c r="F22" s="40">
        <f t="shared" si="11"/>
        <v>556</v>
      </c>
      <c r="G22" s="40">
        <f t="shared" si="11"/>
        <v>752</v>
      </c>
      <c r="H22" s="40">
        <f t="shared" si="11"/>
        <v>887</v>
      </c>
      <c r="I22" s="40">
        <f>I19+I20-I21</f>
        <v>1050.6555431249999</v>
      </c>
      <c r="J22" s="40">
        <f t="shared" ref="J22:M22" si="12">J19+J20-J21</f>
        <v>1175.72754453125</v>
      </c>
      <c r="K22" s="40">
        <f t="shared" si="12"/>
        <v>1317.6596692223281</v>
      </c>
      <c r="L22" s="40">
        <f t="shared" si="12"/>
        <v>1491.8554577770838</v>
      </c>
      <c r="M22" s="40">
        <f t="shared" si="12"/>
        <v>1674.9182263084508</v>
      </c>
    </row>
    <row r="23" spans="1:13" x14ac:dyDescent="0.3">
      <c r="A23" s="20"/>
      <c r="B23" s="20" t="s">
        <v>17</v>
      </c>
      <c r="C23" s="49">
        <v>77</v>
      </c>
      <c r="D23" s="49">
        <v>148</v>
      </c>
      <c r="E23" s="49">
        <v>119</v>
      </c>
      <c r="F23" s="49">
        <v>145</v>
      </c>
      <c r="G23" s="49">
        <v>199</v>
      </c>
      <c r="H23" s="49">
        <v>227</v>
      </c>
      <c r="I23" s="20">
        <f>I22*25.2%</f>
        <v>264.76519686749998</v>
      </c>
      <c r="J23" s="20">
        <f t="shared" ref="J23:M23" si="13">J22*25.2%</f>
        <v>296.28334122187499</v>
      </c>
      <c r="K23" s="20">
        <f t="shared" si="13"/>
        <v>332.05023664402671</v>
      </c>
      <c r="L23" s="20">
        <f t="shared" si="13"/>
        <v>375.94757535982512</v>
      </c>
      <c r="M23" s="20">
        <f t="shared" si="13"/>
        <v>422.0793930297296</v>
      </c>
    </row>
    <row r="24" spans="1:13" s="6" customFormat="1" x14ac:dyDescent="0.3">
      <c r="A24" s="21"/>
      <c r="B24" s="21" t="s">
        <v>18</v>
      </c>
      <c r="C24" s="21">
        <f>C23/C22</f>
        <v>0.22</v>
      </c>
      <c r="D24" s="21">
        <f t="shared" ref="D24:H24" si="14">D23/D22</f>
        <v>0.24832214765100671</v>
      </c>
      <c r="E24" s="21">
        <f t="shared" si="14"/>
        <v>0.2361111111111111</v>
      </c>
      <c r="F24" s="21">
        <f t="shared" si="14"/>
        <v>0.26079136690647481</v>
      </c>
      <c r="G24" s="21">
        <f t="shared" si="14"/>
        <v>0.2646276595744681</v>
      </c>
      <c r="H24" s="21">
        <f t="shared" si="14"/>
        <v>0.25591882750845546</v>
      </c>
      <c r="I24" s="21">
        <f>I23/I22</f>
        <v>0.252</v>
      </c>
      <c r="J24" s="21">
        <f t="shared" ref="J24:M24" si="15">J23/J22</f>
        <v>0.252</v>
      </c>
      <c r="K24" s="21">
        <f t="shared" si="15"/>
        <v>0.252</v>
      </c>
      <c r="L24" s="21">
        <f t="shared" si="15"/>
        <v>0.252</v>
      </c>
      <c r="M24" s="21">
        <f t="shared" si="15"/>
        <v>0.252</v>
      </c>
    </row>
    <row r="25" spans="1:13" x14ac:dyDescent="0.3">
      <c r="A25" s="44"/>
      <c r="B25" s="40" t="s">
        <v>19</v>
      </c>
      <c r="C25" s="40">
        <f>C22-C23</f>
        <v>273</v>
      </c>
      <c r="D25" s="40">
        <f t="shared" ref="D25:H25" si="16">D22-D23</f>
        <v>448</v>
      </c>
      <c r="E25" s="40">
        <f t="shared" si="16"/>
        <v>385</v>
      </c>
      <c r="F25" s="40">
        <f t="shared" si="16"/>
        <v>411</v>
      </c>
      <c r="G25" s="40">
        <f t="shared" si="16"/>
        <v>553</v>
      </c>
      <c r="H25" s="40">
        <f t="shared" si="16"/>
        <v>660</v>
      </c>
      <c r="I25" s="40">
        <f>I22-I23</f>
        <v>785.89034625749991</v>
      </c>
      <c r="J25" s="40">
        <f t="shared" ref="J25:M25" si="17">J22-J23</f>
        <v>879.4442033093751</v>
      </c>
      <c r="K25" s="40">
        <f t="shared" si="17"/>
        <v>985.60943257830149</v>
      </c>
      <c r="L25" s="40">
        <f t="shared" si="17"/>
        <v>1115.9078824172586</v>
      </c>
      <c r="M25" s="40">
        <f t="shared" si="17"/>
        <v>1252.8388332787213</v>
      </c>
    </row>
    <row r="26" spans="1:13" ht="15.6" x14ac:dyDescent="0.3">
      <c r="A26" s="20"/>
      <c r="B26" s="47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</row>
    <row r="27" spans="1:13" ht="18" x14ac:dyDescent="0.35">
      <c r="A27" s="20"/>
      <c r="B27" s="39" t="s">
        <v>185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x14ac:dyDescent="0.3">
      <c r="A28" s="20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s="8" customFormat="1" ht="15.6" x14ac:dyDescent="0.3">
      <c r="A29" s="47"/>
      <c r="B29" s="11" t="s">
        <v>22</v>
      </c>
      <c r="C29" s="11" t="s">
        <v>143</v>
      </c>
      <c r="D29" s="11" t="s">
        <v>144</v>
      </c>
      <c r="E29" s="11" t="s">
        <v>145</v>
      </c>
      <c r="F29" s="11" t="s">
        <v>146</v>
      </c>
      <c r="G29" s="11" t="s">
        <v>147</v>
      </c>
      <c r="H29" s="11" t="s">
        <v>41</v>
      </c>
      <c r="I29" s="11" t="s">
        <v>42</v>
      </c>
      <c r="J29" s="11" t="s">
        <v>43</v>
      </c>
      <c r="K29" s="11" t="s">
        <v>44</v>
      </c>
      <c r="L29" s="11" t="s">
        <v>45</v>
      </c>
      <c r="M29" s="11" t="s">
        <v>46</v>
      </c>
    </row>
    <row r="30" spans="1:13" s="9" customFormat="1" x14ac:dyDescent="0.3">
      <c r="A30" s="44"/>
      <c r="B30" s="51" t="s">
        <v>148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  <row r="31" spans="1:13" x14ac:dyDescent="0.3">
      <c r="A31" s="20"/>
      <c r="B31" s="20" t="s">
        <v>149</v>
      </c>
      <c r="C31" s="49">
        <v>15</v>
      </c>
      <c r="D31" s="49">
        <v>15</v>
      </c>
      <c r="E31" s="49">
        <v>15</v>
      </c>
      <c r="F31" s="49">
        <v>15</v>
      </c>
      <c r="G31" s="49">
        <v>16</v>
      </c>
      <c r="H31" s="49">
        <v>16</v>
      </c>
      <c r="I31" s="49">
        <v>16</v>
      </c>
      <c r="J31" s="49">
        <v>16</v>
      </c>
      <c r="K31" s="49">
        <v>16</v>
      </c>
      <c r="L31" s="49">
        <v>16</v>
      </c>
      <c r="M31" s="49">
        <v>16</v>
      </c>
    </row>
    <row r="32" spans="1:13" x14ac:dyDescent="0.3">
      <c r="A32" s="20"/>
      <c r="B32" s="20" t="s">
        <v>150</v>
      </c>
      <c r="C32" s="49">
        <v>1420</v>
      </c>
      <c r="D32" s="49">
        <v>1794</v>
      </c>
      <c r="E32" s="49">
        <v>2119</v>
      </c>
      <c r="F32" s="49">
        <v>2465</v>
      </c>
      <c r="G32" s="49">
        <v>2908</v>
      </c>
      <c r="H32" s="49">
        <v>3418</v>
      </c>
      <c r="I32" s="20">
        <f>H32+I25</f>
        <v>4203.8903462574999</v>
      </c>
      <c r="J32" s="20">
        <f>I32+J25</f>
        <v>5083.3345495668746</v>
      </c>
      <c r="K32" s="20">
        <f>J32+K25</f>
        <v>6068.9439821451761</v>
      </c>
      <c r="L32" s="20">
        <f>K32+L25</f>
        <v>7184.8518645624345</v>
      </c>
      <c r="M32" s="20">
        <f>L32+M25</f>
        <v>8437.6906978411553</v>
      </c>
    </row>
    <row r="33" spans="1:13" s="9" customFormat="1" x14ac:dyDescent="0.3">
      <c r="A33" s="44"/>
      <c r="B33" s="40" t="s">
        <v>151</v>
      </c>
      <c r="C33" s="50">
        <v>1435</v>
      </c>
      <c r="D33" s="50">
        <v>1809</v>
      </c>
      <c r="E33" s="50">
        <v>2134</v>
      </c>
      <c r="F33" s="50">
        <v>2480</v>
      </c>
      <c r="G33" s="50">
        <v>2924</v>
      </c>
      <c r="H33" s="50">
        <v>3434</v>
      </c>
      <c r="I33" s="40">
        <f>SUM(I31:I32)</f>
        <v>4219.8903462574999</v>
      </c>
      <c r="J33" s="40">
        <f t="shared" ref="J33:M33" si="18">SUM(J31:J32)</f>
        <v>5099.3345495668746</v>
      </c>
      <c r="K33" s="40">
        <f t="shared" si="18"/>
        <v>6084.9439821451761</v>
      </c>
      <c r="L33" s="40">
        <f t="shared" si="18"/>
        <v>7200.8518645624345</v>
      </c>
      <c r="M33" s="40">
        <f t="shared" si="18"/>
        <v>8453.6906978411553</v>
      </c>
    </row>
    <row r="34" spans="1:13" x14ac:dyDescent="0.3">
      <c r="A34" s="2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 x14ac:dyDescent="0.3">
      <c r="A35" s="20"/>
      <c r="B35" s="20" t="s">
        <v>152</v>
      </c>
      <c r="C35" s="49">
        <v>29</v>
      </c>
      <c r="D35" s="49">
        <v>45</v>
      </c>
      <c r="E35" s="49">
        <v>55</v>
      </c>
      <c r="F35" s="49">
        <v>572</v>
      </c>
      <c r="G35" s="49">
        <v>378</v>
      </c>
      <c r="H35" s="49">
        <v>28</v>
      </c>
      <c r="I35" s="20">
        <f>'03_Schedules'!D47</f>
        <v>0</v>
      </c>
      <c r="J35" s="20">
        <f>'03_Schedules'!E47</f>
        <v>0</v>
      </c>
      <c r="K35" s="20">
        <f>'03_Schedules'!F47</f>
        <v>0</v>
      </c>
      <c r="L35" s="20">
        <f>'03_Schedules'!G47</f>
        <v>0</v>
      </c>
      <c r="M35" s="20">
        <f>'03_Schedules'!H47</f>
        <v>0</v>
      </c>
    </row>
    <row r="36" spans="1:13" x14ac:dyDescent="0.3">
      <c r="A36" s="20"/>
      <c r="B36" s="20" t="s">
        <v>155</v>
      </c>
      <c r="C36" s="49">
        <v>245</v>
      </c>
      <c r="D36" s="49">
        <v>261</v>
      </c>
      <c r="E36" s="49">
        <v>285</v>
      </c>
      <c r="F36" s="49">
        <v>315</v>
      </c>
      <c r="G36" s="49">
        <v>372</v>
      </c>
      <c r="H36" s="49">
        <v>429</v>
      </c>
      <c r="I36" s="20">
        <f>'03_Schedules'!D29</f>
        <v>431.77516027397263</v>
      </c>
      <c r="J36" s="20">
        <f>'03_Schedules'!E29</f>
        <v>475.35665603424661</v>
      </c>
      <c r="K36" s="20">
        <f>'03_Schedules'!F29</f>
        <v>523.39022862934928</v>
      </c>
      <c r="L36" s="20">
        <f>'03_Schedules'!G29</f>
        <v>541.68840245095896</v>
      </c>
      <c r="M36" s="20">
        <f>'03_Schedules'!H29</f>
        <v>591.92011036200211</v>
      </c>
    </row>
    <row r="37" spans="1:13" x14ac:dyDescent="0.3">
      <c r="A37" s="20"/>
      <c r="B37" s="20" t="s">
        <v>154</v>
      </c>
      <c r="C37" s="49">
        <v>104</v>
      </c>
      <c r="D37" s="49">
        <v>115</v>
      </c>
      <c r="E37" s="49">
        <v>127</v>
      </c>
      <c r="F37" s="49">
        <v>180</v>
      </c>
      <c r="G37" s="49">
        <v>315</v>
      </c>
      <c r="H37" s="49">
        <v>375</v>
      </c>
      <c r="I37" s="20">
        <f>I7*9.57%</f>
        <v>412.75649250000009</v>
      </c>
      <c r="J37" s="20">
        <f>J7*9.57%</f>
        <v>454.41832713750011</v>
      </c>
      <c r="K37" s="20">
        <f>K7*9.57%</f>
        <v>500.3361352254376</v>
      </c>
      <c r="L37" s="20">
        <f>L7*9.57%</f>
        <v>548.44773164676019</v>
      </c>
      <c r="M37" s="20">
        <f>M7*9.57%</f>
        <v>599.30624391304116</v>
      </c>
    </row>
    <row r="38" spans="1:13" s="9" customFormat="1" x14ac:dyDescent="0.3">
      <c r="A38" s="44"/>
      <c r="B38" s="40" t="s">
        <v>153</v>
      </c>
      <c r="C38" s="50">
        <v>1813</v>
      </c>
      <c r="D38" s="40">
        <f>SUM(D33:D37)</f>
        <v>2230</v>
      </c>
      <c r="E38" s="40">
        <f>SUM(E33:E37)</f>
        <v>2601</v>
      </c>
      <c r="F38" s="40">
        <f>SUM(F33:F37)</f>
        <v>3547</v>
      </c>
      <c r="G38" s="40">
        <f>SUM(G33:G37)</f>
        <v>3989</v>
      </c>
      <c r="H38" s="40">
        <f>SUM(H33:H37)</f>
        <v>4266</v>
      </c>
      <c r="I38" s="40">
        <f>I33+I36+I37</f>
        <v>5064.4219990314723</v>
      </c>
      <c r="J38" s="40">
        <f>J33+J36+J37</f>
        <v>6029.109532738622</v>
      </c>
      <c r="K38" s="40">
        <f>K33+K36+K37</f>
        <v>7108.6703459999635</v>
      </c>
      <c r="L38" s="40">
        <f>L33+L36+L37</f>
        <v>8290.9879986601536</v>
      </c>
      <c r="M38" s="40">
        <f>M33+M36+M37</f>
        <v>9644.9170521161977</v>
      </c>
    </row>
    <row r="39" spans="1:13" x14ac:dyDescent="0.3">
      <c r="A39" s="20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1:13" s="9" customFormat="1" x14ac:dyDescent="0.3">
      <c r="A40" s="44"/>
      <c r="B40" s="51" t="s">
        <v>156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</row>
    <row r="41" spans="1:13" x14ac:dyDescent="0.3">
      <c r="A41" s="20"/>
      <c r="B41" s="20" t="s">
        <v>157</v>
      </c>
      <c r="C41" s="49">
        <v>651</v>
      </c>
      <c r="D41" s="49">
        <v>634</v>
      </c>
      <c r="E41" s="49">
        <v>1277</v>
      </c>
      <c r="F41" s="49">
        <v>1901</v>
      </c>
      <c r="G41" s="49">
        <v>2004</v>
      </c>
      <c r="H41" s="49">
        <v>1968</v>
      </c>
      <c r="I41" s="20">
        <f>'03_Schedules'!D40</f>
        <v>1981.2237431250001</v>
      </c>
      <c r="J41" s="20">
        <f>'03_Schedules'!E40</f>
        <v>2007.8343749062503</v>
      </c>
      <c r="K41" s="20">
        <f>'03_Schedules'!F40</f>
        <v>2048.4170948242036</v>
      </c>
      <c r="L41" s="20">
        <f>'03_Schedules'!G40</f>
        <v>2086.7386997616863</v>
      </c>
      <c r="M41" s="20">
        <f>'03_Schedules'!H40</f>
        <v>2126.759410941344</v>
      </c>
    </row>
    <row r="42" spans="1:13" x14ac:dyDescent="0.3">
      <c r="A42" s="20"/>
      <c r="B42" s="20" t="s">
        <v>158</v>
      </c>
      <c r="C42" s="49">
        <v>345</v>
      </c>
      <c r="D42" s="49">
        <v>392</v>
      </c>
      <c r="E42" s="49">
        <v>558</v>
      </c>
      <c r="F42" s="49">
        <v>578</v>
      </c>
      <c r="G42" s="49">
        <v>687</v>
      </c>
      <c r="H42" s="49">
        <v>815</v>
      </c>
      <c r="I42" s="20">
        <f>'03_Schedules'!D25</f>
        <v>850.7884931506851</v>
      </c>
      <c r="J42" s="20">
        <f>'03_Schedules'!E25</f>
        <v>936.66336164383574</v>
      </c>
      <c r="K42" s="20">
        <f>'03_Schedules'!F25</f>
        <v>1031.3107953287672</v>
      </c>
      <c r="L42" s="20">
        <f>'03_Schedules'!G25</f>
        <v>1099.0779180164386</v>
      </c>
      <c r="M42" s="20">
        <f>'03_Schedules'!H25</f>
        <v>1200.9973253721785</v>
      </c>
    </row>
    <row r="43" spans="1:13" x14ac:dyDescent="0.3">
      <c r="A43" s="20"/>
      <c r="B43" s="20" t="s">
        <v>159</v>
      </c>
      <c r="C43" s="49">
        <v>328</v>
      </c>
      <c r="D43" s="49">
        <v>380</v>
      </c>
      <c r="E43" s="49">
        <v>460</v>
      </c>
      <c r="F43" s="49">
        <v>475</v>
      </c>
      <c r="G43" s="49">
        <v>518</v>
      </c>
      <c r="H43" s="49">
        <v>552</v>
      </c>
      <c r="I43" s="20">
        <f>'03_Schedules'!D27</f>
        <v>596.26093561643836</v>
      </c>
      <c r="J43" s="20">
        <f>'03_Schedules'!E27</f>
        <v>656.44490595205491</v>
      </c>
      <c r="K43" s="20">
        <f>'03_Schedules'!F27</f>
        <v>722.77698239291101</v>
      </c>
      <c r="L43" s="20">
        <f>'03_Schedules'!G27</f>
        <v>758.36376343134248</v>
      </c>
      <c r="M43" s="20">
        <f>'03_Schedules'!H27</f>
        <v>828.6881545068029</v>
      </c>
    </row>
    <row r="44" spans="1:13" x14ac:dyDescent="0.3">
      <c r="A44" s="20"/>
      <c r="B44" s="20" t="s">
        <v>160</v>
      </c>
      <c r="C44" s="49">
        <v>86</v>
      </c>
      <c r="D44" s="49">
        <v>146</v>
      </c>
      <c r="E44" s="49">
        <v>293</v>
      </c>
      <c r="F44" s="49">
        <v>384</v>
      </c>
      <c r="G44" s="49">
        <v>392</v>
      </c>
      <c r="H44" s="49">
        <v>172</v>
      </c>
      <c r="I44" s="49">
        <v>172</v>
      </c>
      <c r="J44" s="49">
        <v>172</v>
      </c>
      <c r="K44" s="49">
        <v>172</v>
      </c>
      <c r="L44" s="49">
        <v>172</v>
      </c>
      <c r="M44" s="49">
        <v>172</v>
      </c>
    </row>
    <row r="45" spans="1:13" x14ac:dyDescent="0.3">
      <c r="A45" s="20"/>
      <c r="B45" s="20" t="s">
        <v>161</v>
      </c>
      <c r="C45" s="49">
        <v>403</v>
      </c>
      <c r="D45" s="49">
        <v>678</v>
      </c>
      <c r="E45" s="49">
        <v>13</v>
      </c>
      <c r="F45" s="49">
        <v>209</v>
      </c>
      <c r="G45" s="49">
        <v>388</v>
      </c>
      <c r="H45" s="49">
        <v>1110</v>
      </c>
      <c r="I45" s="20">
        <f>I63</f>
        <v>1502.3307134492243</v>
      </c>
      <c r="J45" s="20">
        <f>J63</f>
        <v>1944.8814707505749</v>
      </c>
      <c r="K45" s="20">
        <f>K63</f>
        <v>2431.9989444778325</v>
      </c>
      <c r="L45" s="20">
        <f>L63</f>
        <v>3033.9617332070748</v>
      </c>
      <c r="M45" s="20">
        <f>M63</f>
        <v>3686.274173138429</v>
      </c>
    </row>
    <row r="46" spans="1:13" s="9" customFormat="1" x14ac:dyDescent="0.3">
      <c r="A46" s="44"/>
      <c r="B46" s="42" t="s">
        <v>162</v>
      </c>
      <c r="C46" s="50">
        <v>1813</v>
      </c>
      <c r="D46" s="40">
        <f>SUM(D41:D45)</f>
        <v>2230</v>
      </c>
      <c r="E46" s="40">
        <f>SUM(E41:E45)</f>
        <v>2601</v>
      </c>
      <c r="F46" s="40">
        <f>SUM(F41:F45)</f>
        <v>3547</v>
      </c>
      <c r="G46" s="40">
        <f>SUM(G41:G45)</f>
        <v>3989</v>
      </c>
      <c r="H46" s="50">
        <v>4266</v>
      </c>
      <c r="I46" s="40">
        <f>SUM(I41:I45)</f>
        <v>5102.6038853413484</v>
      </c>
      <c r="J46" s="40">
        <f>SUM(J41:J45)</f>
        <v>5717.8241132527164</v>
      </c>
      <c r="K46" s="40">
        <f>SUM(K41:K45)</f>
        <v>6406.5038170237149</v>
      </c>
      <c r="L46" s="40">
        <f>SUM(L41:L45)</f>
        <v>7150.1421144165424</v>
      </c>
      <c r="M46" s="40">
        <f>SUM(M41:M45)</f>
        <v>8014.7190639587534</v>
      </c>
    </row>
    <row r="47" spans="1:13" customFormat="1" ht="15.6" x14ac:dyDescent="0.3">
      <c r="A47" s="14"/>
      <c r="B47" s="16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8" x14ac:dyDescent="0.35">
      <c r="A48" s="20"/>
      <c r="B48" s="39" t="s">
        <v>186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3" x14ac:dyDescent="0.3">
      <c r="A49" s="20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s="8" customFormat="1" ht="15.6" x14ac:dyDescent="0.3">
      <c r="A50" s="47"/>
      <c r="B50" s="11" t="s">
        <v>22</v>
      </c>
      <c r="C50" s="11" t="s">
        <v>143</v>
      </c>
      <c r="D50" s="11" t="s">
        <v>144</v>
      </c>
      <c r="E50" s="11" t="s">
        <v>145</v>
      </c>
      <c r="F50" s="11" t="s">
        <v>146</v>
      </c>
      <c r="G50" s="11" t="s">
        <v>147</v>
      </c>
      <c r="H50" s="11" t="s">
        <v>41</v>
      </c>
      <c r="I50" s="11" t="s">
        <v>42</v>
      </c>
      <c r="J50" s="11" t="s">
        <v>43</v>
      </c>
      <c r="K50" s="11" t="s">
        <v>44</v>
      </c>
      <c r="L50" s="11" t="s">
        <v>45</v>
      </c>
      <c r="M50" s="11" t="s">
        <v>46</v>
      </c>
    </row>
    <row r="51" spans="1:13" x14ac:dyDescent="0.3">
      <c r="A51" s="20"/>
      <c r="B51" s="44" t="s">
        <v>19</v>
      </c>
      <c r="C51" s="48">
        <v>272</v>
      </c>
      <c r="D51" s="48">
        <v>449</v>
      </c>
      <c r="E51" s="48">
        <v>386</v>
      </c>
      <c r="F51" s="48">
        <v>410</v>
      </c>
      <c r="G51" s="48">
        <v>553</v>
      </c>
      <c r="H51" s="48">
        <v>660</v>
      </c>
      <c r="I51" s="44">
        <f>I25</f>
        <v>785.89034625749991</v>
      </c>
      <c r="J51" s="44">
        <f t="shared" ref="J51:M51" si="19">J25</f>
        <v>879.4442033093751</v>
      </c>
      <c r="K51" s="44">
        <f t="shared" si="19"/>
        <v>985.60943257830149</v>
      </c>
      <c r="L51" s="44">
        <f t="shared" si="19"/>
        <v>1115.9078824172586</v>
      </c>
      <c r="M51" s="44">
        <f t="shared" si="19"/>
        <v>1252.8388332787213</v>
      </c>
    </row>
    <row r="52" spans="1:13" x14ac:dyDescent="0.3">
      <c r="A52" s="20"/>
      <c r="B52" s="20" t="s">
        <v>70</v>
      </c>
      <c r="C52" s="49">
        <v>66</v>
      </c>
      <c r="D52" s="49">
        <v>69</v>
      </c>
      <c r="E52" s="49">
        <v>73</v>
      </c>
      <c r="F52" s="49">
        <v>114</v>
      </c>
      <c r="G52" s="49">
        <v>138</v>
      </c>
      <c r="H52" s="49">
        <v>171</v>
      </c>
      <c r="I52" s="20">
        <f>I18</f>
        <v>137.73213187500002</v>
      </c>
      <c r="J52" s="20">
        <f t="shared" ref="J52:M52" si="20">J18</f>
        <v>139.58206884375002</v>
      </c>
      <c r="K52" s="20">
        <f t="shared" si="20"/>
        <v>142.4033274476719</v>
      </c>
      <c r="L52" s="20">
        <f t="shared" si="20"/>
        <v>145.06739624011726</v>
      </c>
      <c r="M52" s="20">
        <f t="shared" si="20"/>
        <v>147.84958471784745</v>
      </c>
    </row>
    <row r="53" spans="1:13" x14ac:dyDescent="0.3">
      <c r="A53" s="20"/>
      <c r="B53" s="20" t="s">
        <v>72</v>
      </c>
      <c r="C53" s="49">
        <v>-62</v>
      </c>
      <c r="D53" s="49">
        <v>-203</v>
      </c>
      <c r="E53" s="49">
        <v>-289</v>
      </c>
      <c r="F53" s="49">
        <v>102</v>
      </c>
      <c r="G53" s="49">
        <v>110</v>
      </c>
      <c r="H53" s="49">
        <v>-71</v>
      </c>
      <c r="I53" s="20">
        <f>-'03_Schedules'!D31</f>
        <v>-77.274268493150885</v>
      </c>
      <c r="J53" s="20">
        <f>-'03_Schedules'!E31</f>
        <v>-102.47734306849316</v>
      </c>
      <c r="K53" s="20">
        <f>-'03_Schedules'!F31</f>
        <v>-112.94593753068511</v>
      </c>
      <c r="L53" s="20">
        <f>-'03_Schedules'!G31</f>
        <v>-85.055729904493091</v>
      </c>
      <c r="M53" s="20">
        <f>-'03_Schedules'!H31</f>
        <v>-122.01209052015702</v>
      </c>
    </row>
    <row r="54" spans="1:13" s="9" customFormat="1" x14ac:dyDescent="0.3">
      <c r="A54" s="44"/>
      <c r="B54" s="40" t="s">
        <v>163</v>
      </c>
      <c r="C54" s="50">
        <v>276</v>
      </c>
      <c r="D54" s="50">
        <v>315</v>
      </c>
      <c r="E54" s="50">
        <v>170</v>
      </c>
      <c r="F54" s="50">
        <v>626</v>
      </c>
      <c r="G54" s="50">
        <v>801</v>
      </c>
      <c r="H54" s="50">
        <v>902</v>
      </c>
      <c r="I54" s="40">
        <f>SUM(I51:I53)</f>
        <v>846.34820963934908</v>
      </c>
      <c r="J54" s="40">
        <f t="shared" ref="J54:M54" si="21">SUM(J51:J53)</f>
        <v>916.54892908463194</v>
      </c>
      <c r="K54" s="40">
        <f t="shared" si="21"/>
        <v>1015.0668224952883</v>
      </c>
      <c r="L54" s="40">
        <f t="shared" si="21"/>
        <v>1175.9195487528827</v>
      </c>
      <c r="M54" s="40">
        <f t="shared" si="21"/>
        <v>1278.6763274764116</v>
      </c>
    </row>
    <row r="55" spans="1:13" x14ac:dyDescent="0.3">
      <c r="A55" s="20"/>
      <c r="B55" s="40" t="s">
        <v>164</v>
      </c>
      <c r="C55" s="40">
        <v>-71</v>
      </c>
      <c r="D55" s="40">
        <v>-52</v>
      </c>
      <c r="E55" s="40">
        <v>-716</v>
      </c>
      <c r="F55" s="40">
        <v>-738</v>
      </c>
      <c r="G55" s="40">
        <v>-241</v>
      </c>
      <c r="H55" s="40">
        <v>-135</v>
      </c>
      <c r="I55" s="40">
        <f>-'03_Schedules'!D38</f>
        <v>-150.95587500000002</v>
      </c>
      <c r="J55" s="40">
        <f>-'03_Schedules'!E38</f>
        <v>-166.19270062500004</v>
      </c>
      <c r="K55" s="40">
        <f>-'03_Schedules'!F38</f>
        <v>-182.98604736562504</v>
      </c>
      <c r="L55" s="40">
        <f>-'03_Schedules'!G38</f>
        <v>-183.38900117760002</v>
      </c>
      <c r="M55" s="40">
        <f>-'03_Schedules'!H38</f>
        <v>-187.87029589750503</v>
      </c>
    </row>
    <row r="56" spans="1:13" x14ac:dyDescent="0.3">
      <c r="A56" s="20"/>
      <c r="B56" s="20" t="s">
        <v>165</v>
      </c>
      <c r="C56" s="49">
        <v>95</v>
      </c>
      <c r="D56" s="49">
        <v>-179</v>
      </c>
      <c r="E56" s="49">
        <v>718</v>
      </c>
      <c r="F56" s="49">
        <v>-224</v>
      </c>
      <c r="G56" s="49">
        <v>-163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</row>
    <row r="57" spans="1:13" s="9" customFormat="1" x14ac:dyDescent="0.3">
      <c r="A57" s="44"/>
      <c r="B57" s="40" t="s">
        <v>166</v>
      </c>
      <c r="C57" s="50">
        <v>24</v>
      </c>
      <c r="D57" s="50">
        <v>-231</v>
      </c>
      <c r="E57" s="50">
        <v>2</v>
      </c>
      <c r="F57" s="50">
        <v>-962</v>
      </c>
      <c r="G57" s="50">
        <v>-404</v>
      </c>
      <c r="H57" s="50">
        <v>-135</v>
      </c>
      <c r="I57" s="40">
        <f>SUM(I55:I56)</f>
        <v>-150.95587500000002</v>
      </c>
      <c r="J57" s="40">
        <f t="shared" ref="J57:M57" si="22">SUM(J55:J56)</f>
        <v>-166.19270062500004</v>
      </c>
      <c r="K57" s="40">
        <f t="shared" si="22"/>
        <v>-182.98604736562504</v>
      </c>
      <c r="L57" s="40">
        <f t="shared" si="22"/>
        <v>-183.38900117760002</v>
      </c>
      <c r="M57" s="40">
        <f t="shared" si="22"/>
        <v>-187.87029589750503</v>
      </c>
    </row>
    <row r="58" spans="1:13" x14ac:dyDescent="0.3">
      <c r="A58" s="20"/>
      <c r="B58" s="40" t="s">
        <v>167</v>
      </c>
      <c r="C58" s="40">
        <v>3</v>
      </c>
      <c r="D58" s="40">
        <v>16</v>
      </c>
      <c r="E58" s="40">
        <v>10</v>
      </c>
      <c r="F58" s="40">
        <v>517</v>
      </c>
      <c r="G58" s="40">
        <v>-194</v>
      </c>
      <c r="H58" s="40">
        <v>-350</v>
      </c>
      <c r="I58" s="40">
        <v>-28</v>
      </c>
      <c r="J58" s="40">
        <v>0</v>
      </c>
      <c r="K58" s="40">
        <v>0</v>
      </c>
      <c r="L58" s="40">
        <v>0</v>
      </c>
      <c r="M58" s="40">
        <v>0</v>
      </c>
    </row>
    <row r="59" spans="1:13" x14ac:dyDescent="0.3">
      <c r="A59" s="20"/>
      <c r="B59" s="20" t="s">
        <v>168</v>
      </c>
      <c r="C59" s="49">
        <v>-309</v>
      </c>
      <c r="D59" s="49">
        <v>-103</v>
      </c>
      <c r="E59" s="49">
        <v>-148</v>
      </c>
      <c r="F59" s="49">
        <v>-160</v>
      </c>
      <c r="G59" s="49">
        <v>-191</v>
      </c>
      <c r="H59" s="49">
        <v>-244</v>
      </c>
      <c r="I59" s="20">
        <f>-I51*35%</f>
        <v>-275.06162119012492</v>
      </c>
      <c r="J59" s="20">
        <f t="shared" ref="J59:M59" si="23">-J51*35%</f>
        <v>-307.80547115828125</v>
      </c>
      <c r="K59" s="20">
        <f t="shared" si="23"/>
        <v>-344.96330140240548</v>
      </c>
      <c r="L59" s="20">
        <f t="shared" si="23"/>
        <v>-390.56775884604048</v>
      </c>
      <c r="M59" s="20">
        <f t="shared" si="23"/>
        <v>-438.49359164755242</v>
      </c>
    </row>
    <row r="60" spans="1:13" s="9" customFormat="1" x14ac:dyDescent="0.3">
      <c r="A60" s="44"/>
      <c r="B60" s="40" t="s">
        <v>169</v>
      </c>
      <c r="C60" s="50">
        <v>-306</v>
      </c>
      <c r="D60" s="50">
        <v>-87</v>
      </c>
      <c r="E60" s="50">
        <v>-138</v>
      </c>
      <c r="F60" s="50">
        <v>357</v>
      </c>
      <c r="G60" s="50">
        <v>-385</v>
      </c>
      <c r="H60" s="50">
        <v>-594</v>
      </c>
      <c r="I60" s="40">
        <f>SUM(I58:I59)</f>
        <v>-303.06162119012492</v>
      </c>
      <c r="J60" s="40">
        <f t="shared" ref="J60:M60" si="24">SUM(J58:J59)</f>
        <v>-307.80547115828125</v>
      </c>
      <c r="K60" s="40">
        <f t="shared" si="24"/>
        <v>-344.96330140240548</v>
      </c>
      <c r="L60" s="40">
        <f t="shared" si="24"/>
        <v>-390.56775884604048</v>
      </c>
      <c r="M60" s="40">
        <f t="shared" si="24"/>
        <v>-438.49359164755242</v>
      </c>
    </row>
    <row r="61" spans="1:13" s="9" customFormat="1" x14ac:dyDescent="0.3">
      <c r="A61" s="44"/>
      <c r="B61" s="40" t="s">
        <v>170</v>
      </c>
      <c r="C61" s="40">
        <v>-6</v>
      </c>
      <c r="D61" s="40">
        <v>-3</v>
      </c>
      <c r="E61" s="40">
        <v>34</v>
      </c>
      <c r="F61" s="40">
        <v>21</v>
      </c>
      <c r="G61" s="40">
        <v>12</v>
      </c>
      <c r="H61" s="40">
        <v>173</v>
      </c>
      <c r="I61" s="40">
        <f>I54+I57+I60</f>
        <v>392.33071344922416</v>
      </c>
      <c r="J61" s="40">
        <f t="shared" ref="J61:M61" si="25">J54+J57+J60</f>
        <v>442.55075730135064</v>
      </c>
      <c r="K61" s="40">
        <f t="shared" si="25"/>
        <v>487.11747372725779</v>
      </c>
      <c r="L61" s="40">
        <f t="shared" si="25"/>
        <v>601.96278872924222</v>
      </c>
      <c r="M61" s="40">
        <f t="shared" si="25"/>
        <v>652.31243993135422</v>
      </c>
    </row>
    <row r="62" spans="1:13" s="41" customFormat="1" x14ac:dyDescent="0.3">
      <c r="A62" s="20"/>
      <c r="B62" s="40" t="s">
        <v>171</v>
      </c>
      <c r="C62" s="40">
        <v>409</v>
      </c>
      <c r="D62" s="40">
        <v>403</v>
      </c>
      <c r="E62" s="40">
        <v>678</v>
      </c>
      <c r="F62" s="40">
        <v>13</v>
      </c>
      <c r="G62" s="40">
        <v>234</v>
      </c>
      <c r="H62" s="40">
        <v>937</v>
      </c>
      <c r="I62" s="40">
        <f>H63</f>
        <v>1110</v>
      </c>
      <c r="J62" s="40">
        <f>I63</f>
        <v>1502.3307134492243</v>
      </c>
      <c r="K62" s="40">
        <f>J63</f>
        <v>1944.8814707505749</v>
      </c>
      <c r="L62" s="40">
        <f>K63</f>
        <v>2431.9989444778325</v>
      </c>
      <c r="M62" s="40">
        <f>L63</f>
        <v>3033.9617332070748</v>
      </c>
    </row>
    <row r="63" spans="1:13" s="43" customFormat="1" x14ac:dyDescent="0.3">
      <c r="A63" s="44"/>
      <c r="B63" s="40" t="s">
        <v>172</v>
      </c>
      <c r="C63" s="40">
        <v>403</v>
      </c>
      <c r="D63" s="40">
        <v>678</v>
      </c>
      <c r="E63" s="40">
        <v>13</v>
      </c>
      <c r="F63" s="40">
        <v>234</v>
      </c>
      <c r="G63" s="40">
        <v>388</v>
      </c>
      <c r="H63" s="40">
        <v>1110</v>
      </c>
      <c r="I63" s="40">
        <f>I61+I62</f>
        <v>1502.3307134492243</v>
      </c>
      <c r="J63" s="40">
        <f>J61+J62</f>
        <v>1944.8814707505749</v>
      </c>
      <c r="K63" s="40">
        <f>K61+K62</f>
        <v>2431.9989444778325</v>
      </c>
      <c r="L63" s="40">
        <f>L61+L62</f>
        <v>3033.9617332070748</v>
      </c>
      <c r="M63" s="40">
        <f>M61+M62</f>
        <v>3686.274173138429</v>
      </c>
    </row>
  </sheetData>
  <mergeCells count="2">
    <mergeCell ref="A1:K1"/>
    <mergeCell ref="A2:K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4058-ABC4-411A-AC51-C332FF58548B}">
  <dimension ref="A1:H49"/>
  <sheetViews>
    <sheetView topLeftCell="A21" zoomScale="75" workbookViewId="0">
      <selection activeCell="A4" sqref="A4:XFD4"/>
    </sheetView>
  </sheetViews>
  <sheetFormatPr defaultRowHeight="14.4" x14ac:dyDescent="0.3"/>
  <cols>
    <col min="1" max="1" width="3.77734375" customWidth="1"/>
    <col min="2" max="2" width="42.77734375" customWidth="1"/>
    <col min="3" max="8" width="14.77734375" customWidth="1"/>
  </cols>
  <sheetData>
    <row r="1" spans="1:8" ht="18" x14ac:dyDescent="0.35">
      <c r="A1" s="52"/>
      <c r="B1" s="22"/>
      <c r="C1" s="22"/>
      <c r="D1" s="22"/>
      <c r="E1" s="22"/>
      <c r="F1" s="22"/>
      <c r="G1" s="22"/>
      <c r="H1" s="22"/>
    </row>
    <row r="2" spans="1:8" ht="18" x14ac:dyDescent="0.35">
      <c r="A2" s="70" t="s">
        <v>35</v>
      </c>
      <c r="B2" s="70"/>
      <c r="C2" s="70"/>
      <c r="D2" s="70"/>
      <c r="E2" s="70"/>
      <c r="F2" s="15"/>
      <c r="G2" s="15"/>
      <c r="H2" s="15"/>
    </row>
    <row r="3" spans="1:8" x14ac:dyDescent="0.3">
      <c r="A3" s="14"/>
      <c r="B3" s="14"/>
      <c r="C3" s="14"/>
      <c r="D3" s="14"/>
      <c r="E3" s="14"/>
      <c r="F3" s="14"/>
      <c r="G3" s="14"/>
      <c r="H3" s="14"/>
    </row>
    <row r="4" spans="1:8" s="4" customFormat="1" ht="15.6" x14ac:dyDescent="0.3">
      <c r="A4" s="23"/>
      <c r="B4" s="12" t="s">
        <v>22</v>
      </c>
      <c r="C4" s="12" t="s">
        <v>20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</row>
    <row r="5" spans="1:8" s="1" customFormat="1" x14ac:dyDescent="0.3">
      <c r="A5" s="15"/>
      <c r="B5" s="15" t="s">
        <v>23</v>
      </c>
      <c r="C5" s="53">
        <v>2145</v>
      </c>
      <c r="D5" s="24">
        <f>C5*(1+D6)</f>
        <v>2380.9500000000003</v>
      </c>
      <c r="E5" s="24">
        <f t="shared" ref="E5:H5" si="0">D5*(1+E6)</f>
        <v>2642.8545000000004</v>
      </c>
      <c r="F5" s="24">
        <f t="shared" si="0"/>
        <v>2933.5684950000009</v>
      </c>
      <c r="G5" s="24">
        <f t="shared" si="0"/>
        <v>3241.5931869750011</v>
      </c>
      <c r="H5" s="24">
        <f t="shared" si="0"/>
        <v>3565.7525056725017</v>
      </c>
    </row>
    <row r="6" spans="1:8" s="3" customFormat="1" x14ac:dyDescent="0.3">
      <c r="A6" s="14"/>
      <c r="B6" s="14" t="s">
        <v>24</v>
      </c>
      <c r="C6" s="14"/>
      <c r="D6" s="54">
        <v>0.11</v>
      </c>
      <c r="E6" s="54">
        <v>0.11</v>
      </c>
      <c r="F6" s="54">
        <v>0.11</v>
      </c>
      <c r="G6" s="54">
        <v>0.105</v>
      </c>
      <c r="H6" s="54">
        <v>0.1</v>
      </c>
    </row>
    <row r="7" spans="1:8" x14ac:dyDescent="0.3">
      <c r="A7" s="14"/>
      <c r="B7" s="15" t="s">
        <v>25</v>
      </c>
      <c r="C7" s="55">
        <v>1215</v>
      </c>
      <c r="D7" s="25">
        <f>C7*(1+D8)</f>
        <v>1318.2749999999999</v>
      </c>
      <c r="E7" s="25">
        <f t="shared" ref="E7:H7" si="1">D7*(1+E8)</f>
        <v>1430.3283749999998</v>
      </c>
      <c r="F7" s="25">
        <f t="shared" si="1"/>
        <v>1551.9062868749998</v>
      </c>
      <c r="G7" s="25">
        <f t="shared" si="1"/>
        <v>1676.0587898249998</v>
      </c>
      <c r="H7" s="25">
        <f t="shared" si="1"/>
        <v>1810.1434930109999</v>
      </c>
    </row>
    <row r="8" spans="1:8" s="3" customFormat="1" x14ac:dyDescent="0.3">
      <c r="A8" s="14"/>
      <c r="B8" s="14" t="s">
        <v>26</v>
      </c>
      <c r="C8" s="14"/>
      <c r="D8" s="54">
        <v>8.5000000000000006E-2</v>
      </c>
      <c r="E8" s="54">
        <v>8.5000000000000006E-2</v>
      </c>
      <c r="F8" s="54">
        <v>8.5000000000000006E-2</v>
      </c>
      <c r="G8" s="54">
        <v>0.08</v>
      </c>
      <c r="H8" s="54">
        <v>0.08</v>
      </c>
    </row>
    <row r="9" spans="1:8" s="1" customFormat="1" x14ac:dyDescent="0.3">
      <c r="A9" s="15"/>
      <c r="B9" s="15" t="s">
        <v>27</v>
      </c>
      <c r="C9" s="56">
        <v>558</v>
      </c>
      <c r="D9" s="24">
        <f>C9*(1+D10)</f>
        <v>613.80000000000007</v>
      </c>
      <c r="E9" s="24">
        <f t="shared" ref="E9:H9" si="2">D9*(1+E10)</f>
        <v>675.18000000000018</v>
      </c>
      <c r="F9" s="24">
        <f t="shared" si="2"/>
        <v>742.69800000000021</v>
      </c>
      <c r="G9" s="24">
        <f t="shared" si="2"/>
        <v>813.25431000000026</v>
      </c>
      <c r="H9" s="24">
        <f t="shared" si="2"/>
        <v>886.44719790000033</v>
      </c>
    </row>
    <row r="10" spans="1:8" s="3" customFormat="1" x14ac:dyDescent="0.3">
      <c r="A10" s="14"/>
      <c r="B10" s="14" t="s">
        <v>28</v>
      </c>
      <c r="C10" s="14"/>
      <c r="D10" s="54">
        <v>0.1</v>
      </c>
      <c r="E10" s="54">
        <v>0.1</v>
      </c>
      <c r="F10" s="54">
        <v>0.1</v>
      </c>
      <c r="G10" s="54">
        <v>9.5000000000000001E-2</v>
      </c>
      <c r="H10" s="54">
        <v>0.09</v>
      </c>
    </row>
    <row r="11" spans="1:8" s="1" customFormat="1" x14ac:dyDescent="0.3">
      <c r="A11" s="15"/>
      <c r="B11" s="15" t="s">
        <v>29</v>
      </c>
      <c r="C11" s="53">
        <v>3918</v>
      </c>
      <c r="D11" s="24">
        <f>D5+D7+D9</f>
        <v>4313.0250000000005</v>
      </c>
      <c r="E11" s="24">
        <f>E5+E7+E9</f>
        <v>4748.3628750000007</v>
      </c>
      <c r="F11" s="24">
        <f t="shared" ref="F11:H11" si="3">F5+F7+F9</f>
        <v>5228.1727818750005</v>
      </c>
      <c r="G11" s="24">
        <f t="shared" si="3"/>
        <v>5730.906286800001</v>
      </c>
      <c r="H11" s="24">
        <f t="shared" si="3"/>
        <v>6262.3431965835016</v>
      </c>
    </row>
    <row r="12" spans="1:8" x14ac:dyDescent="0.3">
      <c r="A12" s="14"/>
      <c r="B12" s="14"/>
      <c r="C12" s="14"/>
      <c r="D12" s="14"/>
      <c r="E12" s="14"/>
      <c r="F12" s="14"/>
      <c r="G12" s="14"/>
      <c r="H12" s="14"/>
    </row>
    <row r="13" spans="1:8" ht="18" x14ac:dyDescent="0.3">
      <c r="A13" s="74" t="s">
        <v>40</v>
      </c>
      <c r="B13" s="74"/>
      <c r="C13" s="74"/>
      <c r="D13" s="26"/>
      <c r="E13" s="26"/>
      <c r="F13" s="15"/>
      <c r="G13" s="15"/>
      <c r="H13" s="15"/>
    </row>
    <row r="14" spans="1:8" s="5" customFormat="1" ht="15.6" x14ac:dyDescent="0.3">
      <c r="A14" s="27"/>
      <c r="B14" s="27"/>
      <c r="C14" s="27"/>
      <c r="D14" s="28"/>
      <c r="E14" s="28"/>
      <c r="F14" s="29"/>
      <c r="G14" s="29"/>
      <c r="H14" s="29"/>
    </row>
    <row r="15" spans="1:8" s="4" customFormat="1" ht="15.6" x14ac:dyDescent="0.3">
      <c r="A15" s="23"/>
      <c r="B15" s="13" t="s">
        <v>22</v>
      </c>
      <c r="C15" s="13" t="s">
        <v>30</v>
      </c>
      <c r="D15" s="13" t="s">
        <v>31</v>
      </c>
      <c r="E15" s="13" t="s">
        <v>32</v>
      </c>
      <c r="F15" s="13" t="s">
        <v>33</v>
      </c>
      <c r="G15" s="13" t="s">
        <v>34</v>
      </c>
      <c r="H15" s="23"/>
    </row>
    <row r="16" spans="1:8" x14ac:dyDescent="0.3">
      <c r="A16" s="14"/>
      <c r="B16" s="14" t="s">
        <v>36</v>
      </c>
      <c r="C16" s="54">
        <v>0.34799999999999998</v>
      </c>
      <c r="D16" s="54">
        <v>0.34799999999999998</v>
      </c>
      <c r="E16" s="54">
        <v>0.34799999999999998</v>
      </c>
      <c r="F16" s="54">
        <v>0.34499999999999997</v>
      </c>
      <c r="G16" s="54">
        <v>0.34499999999999997</v>
      </c>
      <c r="H16" s="19"/>
    </row>
    <row r="17" spans="1:8" x14ac:dyDescent="0.3">
      <c r="A17" s="14"/>
      <c r="B17" s="14" t="s">
        <v>37</v>
      </c>
      <c r="C17" s="54">
        <v>0.18</v>
      </c>
      <c r="D17" s="54">
        <v>0.17799999999999999</v>
      </c>
      <c r="E17" s="54">
        <v>0.17499999999999999</v>
      </c>
      <c r="F17" s="54">
        <v>0.17299999999999999</v>
      </c>
      <c r="G17" s="54">
        <v>0.17</v>
      </c>
      <c r="H17" s="19"/>
    </row>
    <row r="18" spans="1:8" x14ac:dyDescent="0.3">
      <c r="A18" s="14"/>
      <c r="B18" s="14" t="s">
        <v>38</v>
      </c>
      <c r="C18" s="54">
        <v>0.20499999999999999</v>
      </c>
      <c r="D18" s="54">
        <v>0.20499999999999999</v>
      </c>
      <c r="E18" s="54">
        <v>0.20499999999999999</v>
      </c>
      <c r="F18" s="54">
        <v>0.20300000000000001</v>
      </c>
      <c r="G18" s="54">
        <v>0.2</v>
      </c>
      <c r="H18" s="19"/>
    </row>
    <row r="19" spans="1:8" x14ac:dyDescent="0.3">
      <c r="A19" s="14"/>
      <c r="B19" s="15" t="s">
        <v>39</v>
      </c>
      <c r="C19" s="57">
        <v>0.26700000000000002</v>
      </c>
      <c r="D19" s="30">
        <f t="shared" ref="D19:G19" si="4">1-(D16+D17+D18)</f>
        <v>0.26900000000000002</v>
      </c>
      <c r="E19" s="30">
        <f t="shared" si="4"/>
        <v>0.27200000000000013</v>
      </c>
      <c r="F19" s="30">
        <f t="shared" si="4"/>
        <v>0.27899999999999991</v>
      </c>
      <c r="G19" s="30">
        <f t="shared" si="4"/>
        <v>0.28499999999999992</v>
      </c>
      <c r="H19" s="14"/>
    </row>
    <row r="20" spans="1:8" x14ac:dyDescent="0.3">
      <c r="A20" s="14"/>
      <c r="B20" s="14"/>
      <c r="C20" s="14"/>
      <c r="D20" s="14"/>
      <c r="E20" s="14"/>
      <c r="F20" s="14"/>
      <c r="G20" s="14"/>
      <c r="H20" s="14"/>
    </row>
    <row r="21" spans="1:8" ht="18" x14ac:dyDescent="0.35">
      <c r="A21" s="70" t="s">
        <v>54</v>
      </c>
      <c r="B21" s="70"/>
      <c r="C21" s="70"/>
      <c r="D21" s="15"/>
      <c r="E21" s="15"/>
      <c r="F21" s="15"/>
      <c r="G21" s="15"/>
      <c r="H21" s="15"/>
    </row>
    <row r="22" spans="1:8" x14ac:dyDescent="0.3">
      <c r="A22" s="14"/>
      <c r="B22" s="14"/>
      <c r="C22" s="14"/>
      <c r="D22" s="14"/>
      <c r="E22" s="14"/>
      <c r="F22" s="14"/>
      <c r="G22" s="14"/>
      <c r="H22" s="14"/>
    </row>
    <row r="23" spans="1:8" s="2" customFormat="1" ht="15.6" x14ac:dyDescent="0.3">
      <c r="A23" s="16"/>
      <c r="B23" s="10" t="s">
        <v>22</v>
      </c>
      <c r="C23" s="10" t="s">
        <v>41</v>
      </c>
      <c r="D23" s="10" t="s">
        <v>42</v>
      </c>
      <c r="E23" s="10" t="s">
        <v>43</v>
      </c>
      <c r="F23" s="10" t="s">
        <v>44</v>
      </c>
      <c r="G23" s="10" t="s">
        <v>45</v>
      </c>
      <c r="H23" s="10" t="s">
        <v>46</v>
      </c>
    </row>
    <row r="24" spans="1:8" x14ac:dyDescent="0.3">
      <c r="A24" s="14"/>
      <c r="B24" s="14" t="s">
        <v>47</v>
      </c>
      <c r="C24" s="58">
        <v>76</v>
      </c>
      <c r="D24" s="59">
        <v>72</v>
      </c>
      <c r="E24" s="58">
        <v>72</v>
      </c>
      <c r="F24" s="58">
        <v>72</v>
      </c>
      <c r="G24" s="58">
        <v>70</v>
      </c>
      <c r="H24" s="58">
        <v>70</v>
      </c>
    </row>
    <row r="25" spans="1:8" x14ac:dyDescent="0.3">
      <c r="A25" s="14"/>
      <c r="B25" s="14" t="s">
        <v>48</v>
      </c>
      <c r="C25" s="58">
        <v>815</v>
      </c>
      <c r="D25" s="17">
        <f>(D24*D11)/365</f>
        <v>850.7884931506851</v>
      </c>
      <c r="E25" s="17">
        <f>(E24*E11)/365</f>
        <v>936.66336164383574</v>
      </c>
      <c r="F25" s="17">
        <f>(F24*F11)/365</f>
        <v>1031.3107953287672</v>
      </c>
      <c r="G25" s="17">
        <f>(G24*G11)/365</f>
        <v>1099.0779180164386</v>
      </c>
      <c r="H25" s="17">
        <f>(H24*H11)/365</f>
        <v>1200.9973253721785</v>
      </c>
    </row>
    <row r="26" spans="1:8" x14ac:dyDescent="0.3">
      <c r="A26" s="14"/>
      <c r="B26" s="14" t="s">
        <v>49</v>
      </c>
      <c r="C26" s="58">
        <v>147</v>
      </c>
      <c r="D26" s="58">
        <v>145</v>
      </c>
      <c r="E26" s="58">
        <v>145</v>
      </c>
      <c r="F26" s="58">
        <v>145</v>
      </c>
      <c r="G26" s="58">
        <v>140</v>
      </c>
      <c r="H26" s="58">
        <v>140</v>
      </c>
    </row>
    <row r="27" spans="1:8" x14ac:dyDescent="0.3">
      <c r="A27" s="14"/>
      <c r="B27" s="14" t="s">
        <v>50</v>
      </c>
      <c r="C27" s="58">
        <v>552</v>
      </c>
      <c r="D27" s="17">
        <f>(D26*'02_3_Statement_Model'!I11)/365</f>
        <v>596.26093561643836</v>
      </c>
      <c r="E27" s="17">
        <f>(E26*'02_3_Statement_Model'!J11)/365</f>
        <v>656.44490595205491</v>
      </c>
      <c r="F27" s="17">
        <f>(F26*'02_3_Statement_Model'!K11)/365</f>
        <v>722.77698239291101</v>
      </c>
      <c r="G27" s="17">
        <f>(G26*'02_3_Statement_Model'!L11)/365</f>
        <v>758.36376343134248</v>
      </c>
      <c r="H27" s="17">
        <f>(H26*'02_3_Statement_Model'!M11)/365</f>
        <v>828.6881545068029</v>
      </c>
    </row>
    <row r="28" spans="1:8" x14ac:dyDescent="0.3">
      <c r="A28" s="14"/>
      <c r="B28" s="14" t="s">
        <v>51</v>
      </c>
      <c r="C28" s="58">
        <v>114</v>
      </c>
      <c r="D28" s="58">
        <v>105</v>
      </c>
      <c r="E28" s="58">
        <v>105</v>
      </c>
      <c r="F28" s="58">
        <v>105</v>
      </c>
      <c r="G28" s="58">
        <v>100</v>
      </c>
      <c r="H28" s="58">
        <v>100</v>
      </c>
    </row>
    <row r="29" spans="1:8" x14ac:dyDescent="0.3">
      <c r="A29" s="14"/>
      <c r="B29" s="14" t="s">
        <v>52</v>
      </c>
      <c r="C29" s="58">
        <v>429</v>
      </c>
      <c r="D29" s="17">
        <f>(D28*'02_3_Statement_Model'!I11)/365</f>
        <v>431.77516027397263</v>
      </c>
      <c r="E29" s="17">
        <f>(E28*'02_3_Statement_Model'!J11)/365</f>
        <v>475.35665603424661</v>
      </c>
      <c r="F29" s="17">
        <f>(F28*'02_3_Statement_Model'!K11)/365</f>
        <v>523.39022862934928</v>
      </c>
      <c r="G29" s="17">
        <f>(G28*'02_3_Statement_Model'!L11)/365</f>
        <v>541.68840245095896</v>
      </c>
      <c r="H29" s="17">
        <f>(H28*'02_3_Statement_Model'!M11)/365</f>
        <v>591.92011036200211</v>
      </c>
    </row>
    <row r="30" spans="1:8" x14ac:dyDescent="0.3">
      <c r="A30" s="14"/>
      <c r="B30" s="15" t="s">
        <v>53</v>
      </c>
      <c r="C30" s="60">
        <v>938</v>
      </c>
      <c r="D30" s="24">
        <f>D25+D27-D29</f>
        <v>1015.2742684931509</v>
      </c>
      <c r="E30" s="24">
        <f t="shared" ref="E30:H30" si="5">E25+E27-E29</f>
        <v>1117.751611561644</v>
      </c>
      <c r="F30" s="24">
        <f t="shared" si="5"/>
        <v>1230.6975490923292</v>
      </c>
      <c r="G30" s="24">
        <f t="shared" si="5"/>
        <v>1315.7532789968222</v>
      </c>
      <c r="H30" s="24">
        <f t="shared" si="5"/>
        <v>1437.7653695169793</v>
      </c>
    </row>
    <row r="31" spans="1:8" x14ac:dyDescent="0.3">
      <c r="A31" s="14"/>
      <c r="B31" s="15" t="s">
        <v>55</v>
      </c>
      <c r="C31" s="14"/>
      <c r="D31" s="24">
        <f>D30-C30</f>
        <v>77.274268493150885</v>
      </c>
      <c r="E31" s="24">
        <f t="shared" ref="E31:H31" si="6">E30-D30</f>
        <v>102.47734306849316</v>
      </c>
      <c r="F31" s="24">
        <f t="shared" si="6"/>
        <v>112.94593753068511</v>
      </c>
      <c r="G31" s="24">
        <f t="shared" si="6"/>
        <v>85.055729904493091</v>
      </c>
      <c r="H31" s="24">
        <f t="shared" si="6"/>
        <v>122.01209052015702</v>
      </c>
    </row>
    <row r="32" spans="1:8" x14ac:dyDescent="0.3">
      <c r="A32" s="14"/>
      <c r="B32" s="14"/>
      <c r="C32" s="14"/>
      <c r="D32" s="14"/>
      <c r="E32" s="14"/>
      <c r="F32" s="14"/>
      <c r="G32" s="14"/>
      <c r="H32" s="14"/>
    </row>
    <row r="33" spans="1:8" ht="18" x14ac:dyDescent="0.35">
      <c r="A33" s="70" t="s">
        <v>61</v>
      </c>
      <c r="B33" s="70"/>
      <c r="C33" s="70"/>
      <c r="D33" s="70"/>
      <c r="E33" s="70"/>
      <c r="F33" s="15"/>
      <c r="G33" s="15"/>
      <c r="H33" s="15"/>
    </row>
    <row r="34" spans="1:8" x14ac:dyDescent="0.3">
      <c r="A34" s="14"/>
      <c r="B34" s="14"/>
      <c r="C34" s="14"/>
      <c r="D34" s="14"/>
      <c r="E34" s="14"/>
      <c r="F34" s="14"/>
      <c r="G34" s="14"/>
      <c r="H34" s="14"/>
    </row>
    <row r="35" spans="1:8" ht="15.6" x14ac:dyDescent="0.3">
      <c r="A35" s="15"/>
      <c r="B35" s="10" t="s">
        <v>22</v>
      </c>
      <c r="C35" s="10" t="s">
        <v>41</v>
      </c>
      <c r="D35" s="10" t="s">
        <v>42</v>
      </c>
      <c r="E35" s="10" t="s">
        <v>43</v>
      </c>
      <c r="F35" s="10" t="s">
        <v>44</v>
      </c>
      <c r="G35" s="10" t="s">
        <v>45</v>
      </c>
      <c r="H35" s="10" t="s">
        <v>46</v>
      </c>
    </row>
    <row r="36" spans="1:8" x14ac:dyDescent="0.3">
      <c r="A36" s="14"/>
      <c r="B36" s="14" t="s">
        <v>56</v>
      </c>
      <c r="C36" s="61">
        <v>2004</v>
      </c>
      <c r="D36" s="61">
        <v>1968</v>
      </c>
      <c r="E36" s="31">
        <f>D40</f>
        <v>1981.2237431250001</v>
      </c>
      <c r="F36" s="31">
        <f t="shared" ref="F36:H36" si="7">E40</f>
        <v>2007.8343749062503</v>
      </c>
      <c r="G36" s="31">
        <f t="shared" si="7"/>
        <v>2048.4170948242036</v>
      </c>
      <c r="H36" s="31">
        <f t="shared" si="7"/>
        <v>2086.7386997616863</v>
      </c>
    </row>
    <row r="37" spans="1:8" x14ac:dyDescent="0.3">
      <c r="A37" s="14"/>
      <c r="B37" s="14" t="s">
        <v>57</v>
      </c>
      <c r="C37" s="14"/>
      <c r="D37" s="54">
        <v>3.5000000000000003E-2</v>
      </c>
      <c r="E37" s="54">
        <v>3.5000000000000003E-2</v>
      </c>
      <c r="F37" s="54">
        <v>3.5000000000000003E-2</v>
      </c>
      <c r="G37" s="54">
        <v>3.2000000000000001E-2</v>
      </c>
      <c r="H37" s="54">
        <v>0.03</v>
      </c>
    </row>
    <row r="38" spans="1:8" x14ac:dyDescent="0.3">
      <c r="A38" s="14"/>
      <c r="B38" s="14" t="s">
        <v>58</v>
      </c>
      <c r="C38" s="58">
        <v>135</v>
      </c>
      <c r="D38" s="17">
        <f>D11*D37</f>
        <v>150.95587500000002</v>
      </c>
      <c r="E38" s="17">
        <f>E11*E37</f>
        <v>166.19270062500004</v>
      </c>
      <c r="F38" s="17">
        <f>F11*F37</f>
        <v>182.98604736562504</v>
      </c>
      <c r="G38" s="17">
        <f>G11*G37</f>
        <v>183.38900117760002</v>
      </c>
      <c r="H38" s="17">
        <f>H11*H37</f>
        <v>187.87029589750503</v>
      </c>
    </row>
    <row r="39" spans="1:8" x14ac:dyDescent="0.3">
      <c r="A39" s="14"/>
      <c r="B39" s="14" t="s">
        <v>59</v>
      </c>
      <c r="C39" s="58">
        <v>171</v>
      </c>
      <c r="D39" s="17">
        <f>(D36+D38)*6.5%</f>
        <v>137.73213187500002</v>
      </c>
      <c r="E39" s="17">
        <f t="shared" ref="E39:H39" si="8">(E36+E38)*6.5%</f>
        <v>139.58206884375002</v>
      </c>
      <c r="F39" s="17">
        <f t="shared" si="8"/>
        <v>142.4033274476719</v>
      </c>
      <c r="G39" s="17">
        <f t="shared" si="8"/>
        <v>145.06739624011726</v>
      </c>
      <c r="H39" s="17">
        <f t="shared" si="8"/>
        <v>147.84958471784745</v>
      </c>
    </row>
    <row r="40" spans="1:8" x14ac:dyDescent="0.3">
      <c r="A40" s="14"/>
      <c r="B40" s="15" t="s">
        <v>60</v>
      </c>
      <c r="C40" s="53">
        <v>1968</v>
      </c>
      <c r="D40" s="25">
        <f>D36+D38-D39</f>
        <v>1981.2237431250001</v>
      </c>
      <c r="E40" s="24">
        <f t="shared" ref="E40:H40" si="9">E36+E38-E39</f>
        <v>2007.8343749062503</v>
      </c>
      <c r="F40" s="24">
        <f t="shared" si="9"/>
        <v>2048.4170948242036</v>
      </c>
      <c r="G40" s="24">
        <f t="shared" si="9"/>
        <v>2086.7386997616863</v>
      </c>
      <c r="H40" s="24">
        <f t="shared" si="9"/>
        <v>2126.759410941344</v>
      </c>
    </row>
    <row r="41" spans="1:8" x14ac:dyDescent="0.3">
      <c r="A41" s="14"/>
      <c r="B41" s="14"/>
      <c r="C41" s="14"/>
      <c r="D41" s="14"/>
      <c r="E41" s="14"/>
      <c r="F41" s="14"/>
      <c r="G41" s="14"/>
      <c r="H41" s="14"/>
    </row>
    <row r="42" spans="1:8" ht="18" x14ac:dyDescent="0.35">
      <c r="A42" s="70" t="s">
        <v>67</v>
      </c>
      <c r="B42" s="70"/>
      <c r="C42" s="70"/>
      <c r="D42" s="32"/>
      <c r="E42" s="15"/>
      <c r="F42" s="15"/>
      <c r="G42" s="15"/>
      <c r="H42" s="15"/>
    </row>
    <row r="43" spans="1:8" x14ac:dyDescent="0.3">
      <c r="A43" s="14"/>
      <c r="B43" s="14"/>
      <c r="C43" s="14"/>
      <c r="D43" s="14"/>
      <c r="E43" s="14"/>
      <c r="F43" s="14"/>
      <c r="G43" s="14"/>
      <c r="H43" s="14"/>
    </row>
    <row r="44" spans="1:8" ht="15.6" x14ac:dyDescent="0.3">
      <c r="A44" s="15"/>
      <c r="B44" s="10" t="s">
        <v>22</v>
      </c>
      <c r="C44" s="10" t="s">
        <v>41</v>
      </c>
      <c r="D44" s="10" t="s">
        <v>42</v>
      </c>
      <c r="E44" s="10" t="s">
        <v>43</v>
      </c>
      <c r="F44" s="10" t="s">
        <v>44</v>
      </c>
      <c r="G44" s="10" t="s">
        <v>45</v>
      </c>
      <c r="H44" s="10" t="s">
        <v>46</v>
      </c>
    </row>
    <row r="45" spans="1:8" x14ac:dyDescent="0.3">
      <c r="A45" s="14"/>
      <c r="B45" s="14" t="s">
        <v>62</v>
      </c>
      <c r="C45" s="58">
        <v>378</v>
      </c>
      <c r="D45" s="58">
        <v>28</v>
      </c>
      <c r="E45" s="58">
        <v>0</v>
      </c>
      <c r="F45" s="58">
        <v>0</v>
      </c>
      <c r="G45" s="58">
        <v>0</v>
      </c>
      <c r="H45" s="58">
        <v>0</v>
      </c>
    </row>
    <row r="46" spans="1:8" x14ac:dyDescent="0.3">
      <c r="A46" s="14"/>
      <c r="B46" s="14" t="s">
        <v>63</v>
      </c>
      <c r="C46" s="58">
        <v>350</v>
      </c>
      <c r="D46" s="58">
        <v>28</v>
      </c>
      <c r="E46" s="58">
        <v>0</v>
      </c>
      <c r="F46" s="58">
        <v>0</v>
      </c>
      <c r="G46" s="58">
        <v>0</v>
      </c>
      <c r="H46" s="58">
        <v>0</v>
      </c>
    </row>
    <row r="47" spans="1:8" x14ac:dyDescent="0.3">
      <c r="A47" s="14"/>
      <c r="B47" s="15" t="s">
        <v>64</v>
      </c>
      <c r="C47" s="60">
        <v>28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</row>
    <row r="48" spans="1:8" x14ac:dyDescent="0.3">
      <c r="A48" s="14"/>
      <c r="B48" s="14" t="s">
        <v>65</v>
      </c>
      <c r="C48" s="14"/>
      <c r="D48" s="54">
        <v>8.5000000000000006E-2</v>
      </c>
      <c r="E48" s="54">
        <v>8.5000000000000006E-2</v>
      </c>
      <c r="F48" s="54">
        <v>8.5000000000000006E-2</v>
      </c>
      <c r="G48" s="54">
        <v>8.5000000000000006E-2</v>
      </c>
      <c r="H48" s="54">
        <v>8.5000000000000006E-2</v>
      </c>
    </row>
    <row r="49" spans="1:8" x14ac:dyDescent="0.3">
      <c r="A49" s="14"/>
      <c r="B49" s="14" t="s">
        <v>66</v>
      </c>
      <c r="C49" s="58">
        <v>12</v>
      </c>
      <c r="D49" s="14">
        <f>(D45+D47)/2 * 8.5%</f>
        <v>1.1900000000000002</v>
      </c>
      <c r="E49" s="14">
        <f t="shared" ref="E49:H49" si="10">(E45+E47)/2 * 8.5%</f>
        <v>0</v>
      </c>
      <c r="F49" s="14">
        <f t="shared" si="10"/>
        <v>0</v>
      </c>
      <c r="G49" s="14">
        <f t="shared" si="10"/>
        <v>0</v>
      </c>
      <c r="H49" s="14">
        <f t="shared" si="10"/>
        <v>0</v>
      </c>
    </row>
  </sheetData>
  <mergeCells count="5">
    <mergeCell ref="A2:E2"/>
    <mergeCell ref="A13:C13"/>
    <mergeCell ref="A21:C21"/>
    <mergeCell ref="A33:E33"/>
    <mergeCell ref="A42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63CB-3716-4A41-BB6B-46EFE1BA9E47}">
  <dimension ref="A1:K39"/>
  <sheetViews>
    <sheetView topLeftCell="A12" zoomScale="85" zoomScaleNormal="85" workbookViewId="0">
      <selection activeCell="C37" sqref="C37"/>
    </sheetView>
  </sheetViews>
  <sheetFormatPr defaultRowHeight="14.4" x14ac:dyDescent="0.3"/>
  <cols>
    <col min="1" max="1" width="3.77734375" customWidth="1"/>
    <col min="2" max="2" width="42.77734375" customWidth="1"/>
    <col min="3" max="10" width="15.77734375" customWidth="1"/>
    <col min="11" max="11" width="25.77734375" bestFit="1" customWidth="1"/>
  </cols>
  <sheetData>
    <row r="1" spans="1:11" ht="18" x14ac:dyDescent="0.35">
      <c r="A1" s="5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8" customHeight="1" x14ac:dyDescent="0.3">
      <c r="A2" s="70" t="s">
        <v>75</v>
      </c>
      <c r="B2" s="70"/>
      <c r="C2" s="70"/>
      <c r="D2" s="15"/>
      <c r="E2" s="15"/>
      <c r="F2" s="15"/>
      <c r="G2" s="15"/>
      <c r="H2" s="15"/>
      <c r="I2" s="15"/>
      <c r="J2" s="15"/>
      <c r="K2" s="14"/>
    </row>
    <row r="3" spans="1:11" ht="14.4" customHeight="1" x14ac:dyDescent="0.3">
      <c r="A3" s="70"/>
      <c r="B3" s="70"/>
      <c r="C3" s="70"/>
      <c r="D3" s="14"/>
      <c r="E3" s="14"/>
      <c r="F3" s="14"/>
      <c r="G3" s="14"/>
      <c r="H3" s="14"/>
      <c r="I3" s="14"/>
      <c r="J3" s="14"/>
      <c r="K3" s="14"/>
    </row>
    <row r="4" spans="1:11" ht="15.6" x14ac:dyDescent="0.3">
      <c r="A4" s="15"/>
      <c r="B4" s="10" t="s">
        <v>68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5"/>
      <c r="I4" s="15"/>
      <c r="J4" s="15"/>
      <c r="K4" s="14"/>
    </row>
    <row r="5" spans="1:11" x14ac:dyDescent="0.3">
      <c r="A5" s="14"/>
      <c r="B5" s="14" t="s">
        <v>13</v>
      </c>
      <c r="C5" s="62">
        <v>1013.85</v>
      </c>
      <c r="D5" s="62">
        <v>1137.73</v>
      </c>
      <c r="E5" s="62">
        <v>1279.6600000000001</v>
      </c>
      <c r="F5" s="62">
        <v>1453.86</v>
      </c>
      <c r="G5" s="62">
        <v>1636.92</v>
      </c>
      <c r="H5" s="31"/>
      <c r="I5" s="14"/>
      <c r="J5" s="14"/>
      <c r="K5" s="14"/>
    </row>
    <row r="6" spans="1:11" x14ac:dyDescent="0.3">
      <c r="A6" s="14"/>
      <c r="B6" s="14" t="s">
        <v>69</v>
      </c>
      <c r="C6" s="63">
        <v>255.49</v>
      </c>
      <c r="D6" s="17">
        <f>D5*25.2%</f>
        <v>286.70796000000001</v>
      </c>
      <c r="E6" s="17">
        <f>E5*25.2%</f>
        <v>322.47432000000003</v>
      </c>
      <c r="F6" s="17">
        <f>F5*25.2%</f>
        <v>366.37271999999996</v>
      </c>
      <c r="G6" s="17">
        <f>G5*25.2%</f>
        <v>412.50384000000003</v>
      </c>
      <c r="H6" s="14"/>
      <c r="I6" s="14"/>
      <c r="J6" s="14"/>
      <c r="K6" s="14"/>
    </row>
    <row r="7" spans="1:11" x14ac:dyDescent="0.3">
      <c r="A7" s="14"/>
      <c r="B7" s="15" t="s">
        <v>74</v>
      </c>
      <c r="C7" s="55">
        <v>758.36</v>
      </c>
      <c r="D7" s="25">
        <f>D5-D6</f>
        <v>851.02204000000006</v>
      </c>
      <c r="E7" s="25">
        <f>E5-E6</f>
        <v>957.18568000000005</v>
      </c>
      <c r="F7" s="25">
        <f>F5-F6</f>
        <v>1087.4872799999998</v>
      </c>
      <c r="G7" s="25">
        <f>G5-G6</f>
        <v>1224.41616</v>
      </c>
      <c r="H7" s="14"/>
      <c r="I7" s="14"/>
      <c r="J7" s="14"/>
      <c r="K7" s="14"/>
    </row>
    <row r="8" spans="1:11" x14ac:dyDescent="0.3">
      <c r="A8" s="14"/>
      <c r="B8" s="14" t="s">
        <v>70</v>
      </c>
      <c r="C8" s="63">
        <v>137.72999999999999</v>
      </c>
      <c r="D8" s="17">
        <f>'03_Schedules'!E39</f>
        <v>139.58206884375002</v>
      </c>
      <c r="E8" s="17">
        <f>'03_Schedules'!F39</f>
        <v>142.4033274476719</v>
      </c>
      <c r="F8" s="17">
        <f>'03_Schedules'!G39</f>
        <v>145.06739624011726</v>
      </c>
      <c r="G8" s="17">
        <f>'03_Schedules'!H39</f>
        <v>147.84958471784745</v>
      </c>
      <c r="H8" s="14"/>
      <c r="I8" s="14"/>
      <c r="J8" s="14"/>
      <c r="K8" s="14"/>
    </row>
    <row r="9" spans="1:11" x14ac:dyDescent="0.3">
      <c r="A9" s="14"/>
      <c r="B9" s="14" t="s">
        <v>71</v>
      </c>
      <c r="C9" s="63">
        <v>150.96</v>
      </c>
      <c r="D9" s="17">
        <f>'03_Schedules'!E38</f>
        <v>166.19270062500004</v>
      </c>
      <c r="E9" s="17">
        <f>'03_Schedules'!F38</f>
        <v>182.98604736562504</v>
      </c>
      <c r="F9" s="17">
        <f>'03_Schedules'!G38</f>
        <v>183.38900117760002</v>
      </c>
      <c r="G9" s="17">
        <f>'03_Schedules'!H38</f>
        <v>187.87029589750503</v>
      </c>
      <c r="H9" s="14"/>
      <c r="I9" s="14"/>
      <c r="J9" s="14"/>
      <c r="K9" s="14"/>
    </row>
    <row r="10" spans="1:11" x14ac:dyDescent="0.3">
      <c r="A10" s="14"/>
      <c r="B10" s="14" t="s">
        <v>72</v>
      </c>
      <c r="C10" s="63">
        <v>77.27</v>
      </c>
      <c r="D10" s="17">
        <f>'03_Schedules'!E31</f>
        <v>102.47734306849316</v>
      </c>
      <c r="E10" s="17">
        <f>'03_Schedules'!F31</f>
        <v>112.94593753068511</v>
      </c>
      <c r="F10" s="17">
        <f>'03_Schedules'!G31</f>
        <v>85.055729904493091</v>
      </c>
      <c r="G10" s="17">
        <f>'03_Schedules'!H31</f>
        <v>122.01209052015702</v>
      </c>
      <c r="H10" s="14"/>
      <c r="I10" s="14"/>
      <c r="J10" s="14"/>
      <c r="K10" s="14"/>
    </row>
    <row r="11" spans="1:11" x14ac:dyDescent="0.3">
      <c r="A11" s="14"/>
      <c r="B11" s="15" t="s">
        <v>73</v>
      </c>
      <c r="C11" s="55">
        <v>667.86</v>
      </c>
      <c r="D11" s="25">
        <f>D7+D8-D9-D10</f>
        <v>721.93406515025686</v>
      </c>
      <c r="E11" s="25">
        <f>E7+E8-E9-E10</f>
        <v>803.65702255136182</v>
      </c>
      <c r="F11" s="25">
        <f>F7+F8-F9-F10</f>
        <v>964.10994515802395</v>
      </c>
      <c r="G11" s="25">
        <f>G7+G8-G9-G10</f>
        <v>1062.3833583001854</v>
      </c>
      <c r="H11" s="14"/>
      <c r="I11" s="14"/>
      <c r="J11" s="14"/>
      <c r="K11" s="14"/>
    </row>
    <row r="12" spans="1:11" x14ac:dyDescent="0.3">
      <c r="A12" s="14"/>
      <c r="B12" s="15"/>
      <c r="C12" s="15"/>
      <c r="D12" s="15"/>
      <c r="E12" s="15"/>
      <c r="F12" s="15"/>
      <c r="G12" s="15"/>
      <c r="H12" s="14"/>
      <c r="I12" s="14"/>
      <c r="J12" s="14"/>
      <c r="K12" s="14"/>
    </row>
    <row r="13" spans="1:11" ht="18" customHeight="1" x14ac:dyDescent="0.3">
      <c r="A13" s="70" t="s">
        <v>87</v>
      </c>
      <c r="B13" s="70"/>
      <c r="C13" s="70"/>
      <c r="D13" s="15"/>
      <c r="E13" s="15"/>
      <c r="F13" s="15"/>
      <c r="G13" s="15"/>
      <c r="H13" s="15"/>
      <c r="I13" s="15"/>
      <c r="J13" s="15"/>
      <c r="K13" s="14"/>
    </row>
    <row r="14" spans="1:11" ht="14.4" customHeight="1" x14ac:dyDescent="0.3">
      <c r="A14" s="70"/>
      <c r="B14" s="70"/>
      <c r="C14" s="70"/>
      <c r="D14" s="14"/>
      <c r="E14" s="14"/>
      <c r="F14" s="14"/>
      <c r="G14" s="14"/>
      <c r="H14" s="14"/>
      <c r="I14" s="14"/>
      <c r="J14" s="14"/>
      <c r="K14" s="14"/>
    </row>
    <row r="15" spans="1:11" ht="15.6" x14ac:dyDescent="0.3">
      <c r="A15" s="15"/>
      <c r="B15" s="10" t="s">
        <v>22</v>
      </c>
      <c r="C15" s="10" t="s">
        <v>76</v>
      </c>
      <c r="D15" s="15"/>
      <c r="E15" s="15"/>
      <c r="F15" s="15"/>
      <c r="G15" s="15"/>
      <c r="H15" s="15"/>
      <c r="I15" s="15"/>
      <c r="J15" s="15"/>
      <c r="K15" s="14"/>
    </row>
    <row r="16" spans="1:11" x14ac:dyDescent="0.3">
      <c r="A16" s="14"/>
      <c r="B16" s="14" t="s">
        <v>77</v>
      </c>
      <c r="C16" s="54">
        <v>7.0000000000000007E-2</v>
      </c>
      <c r="D16" s="14"/>
      <c r="E16" s="14"/>
      <c r="F16" s="14"/>
      <c r="G16" s="14"/>
      <c r="H16" s="14"/>
      <c r="I16" s="14"/>
      <c r="J16" s="14"/>
      <c r="K16" s="14"/>
    </row>
    <row r="17" spans="1:11" x14ac:dyDescent="0.3">
      <c r="A17" s="14"/>
      <c r="B17" s="14" t="s">
        <v>78</v>
      </c>
      <c r="C17" s="58">
        <v>0.8</v>
      </c>
      <c r="D17" s="14"/>
      <c r="E17" s="14"/>
      <c r="F17" s="14"/>
      <c r="G17" s="14"/>
      <c r="H17" s="14"/>
      <c r="I17" s="14"/>
      <c r="J17" s="14"/>
      <c r="K17" s="14"/>
    </row>
    <row r="18" spans="1:11" x14ac:dyDescent="0.3">
      <c r="A18" s="14"/>
      <c r="B18" s="14" t="s">
        <v>79</v>
      </c>
      <c r="C18" s="54">
        <v>6.5000000000000002E-2</v>
      </c>
      <c r="D18" s="14"/>
      <c r="E18" s="14"/>
      <c r="F18" s="14"/>
      <c r="G18" s="14"/>
      <c r="H18" s="14"/>
      <c r="I18" s="14"/>
      <c r="J18" s="14"/>
      <c r="K18" s="14"/>
    </row>
    <row r="19" spans="1:11" x14ac:dyDescent="0.3">
      <c r="A19" s="14"/>
      <c r="B19" s="14" t="s">
        <v>80</v>
      </c>
      <c r="C19" s="19">
        <f>C16+C17*C18</f>
        <v>0.12200000000000001</v>
      </c>
      <c r="D19" s="14"/>
      <c r="E19" s="14"/>
      <c r="F19" s="14"/>
      <c r="G19" s="14"/>
      <c r="H19" s="14"/>
      <c r="I19" s="14"/>
      <c r="J19" s="14"/>
      <c r="K19" s="14"/>
    </row>
    <row r="20" spans="1:11" x14ac:dyDescent="0.3">
      <c r="A20" s="14"/>
      <c r="B20" s="14" t="s">
        <v>81</v>
      </c>
      <c r="C20" s="54">
        <v>8.5000000000000006E-2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3">
      <c r="A21" s="14"/>
      <c r="B21" s="14" t="s">
        <v>82</v>
      </c>
      <c r="C21" s="54">
        <v>0.252</v>
      </c>
      <c r="D21" s="14"/>
      <c r="E21" s="14"/>
      <c r="F21" s="14"/>
      <c r="G21" s="14"/>
      <c r="H21" s="14"/>
      <c r="I21" s="14"/>
      <c r="J21" s="14"/>
      <c r="K21" s="14"/>
    </row>
    <row r="22" spans="1:11" x14ac:dyDescent="0.3">
      <c r="A22" s="14"/>
      <c r="B22" s="14" t="s">
        <v>83</v>
      </c>
      <c r="C22" s="19">
        <f>C20*(1-C21)</f>
        <v>6.3579999999999998E-2</v>
      </c>
      <c r="D22" s="14"/>
      <c r="E22" s="14"/>
      <c r="F22" s="14"/>
      <c r="G22" s="14"/>
      <c r="H22" s="14"/>
      <c r="I22" s="14"/>
      <c r="J22" s="14"/>
      <c r="K22" s="14"/>
    </row>
    <row r="23" spans="1:11" x14ac:dyDescent="0.3">
      <c r="A23" s="14"/>
      <c r="B23" s="14" t="s">
        <v>84</v>
      </c>
      <c r="C23" s="54">
        <v>0.95</v>
      </c>
      <c r="D23" s="14"/>
      <c r="E23" s="14"/>
      <c r="F23" s="14"/>
      <c r="G23" s="14"/>
      <c r="H23" s="14"/>
      <c r="I23" s="14"/>
      <c r="J23" s="14"/>
      <c r="K23" s="14"/>
    </row>
    <row r="24" spans="1:11" x14ac:dyDescent="0.3">
      <c r="A24" s="14"/>
      <c r="B24" s="14" t="s">
        <v>85</v>
      </c>
      <c r="C24" s="54">
        <v>0.05</v>
      </c>
      <c r="D24" s="14"/>
      <c r="E24" s="14"/>
      <c r="F24" s="14"/>
      <c r="G24" s="14"/>
      <c r="H24" s="14"/>
      <c r="I24" s="14"/>
      <c r="J24" s="14"/>
      <c r="K24" s="14"/>
    </row>
    <row r="25" spans="1:11" x14ac:dyDescent="0.3">
      <c r="A25" s="14"/>
      <c r="B25" s="15" t="s">
        <v>86</v>
      </c>
      <c r="C25" s="33">
        <f>C19*C23+C22*C24</f>
        <v>0.119079</v>
      </c>
      <c r="D25" s="14"/>
      <c r="E25" s="14"/>
      <c r="F25" s="14"/>
      <c r="G25" s="14"/>
      <c r="H25" s="14"/>
      <c r="I25" s="14"/>
      <c r="J25" s="14"/>
      <c r="K25" s="14"/>
    </row>
    <row r="26" spans="1:1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8" customHeight="1" x14ac:dyDescent="0.3">
      <c r="A27" s="70" t="s">
        <v>101</v>
      </c>
      <c r="B27" s="70"/>
      <c r="C27" s="70"/>
      <c r="D27" s="15"/>
      <c r="E27" s="15"/>
      <c r="F27" s="15"/>
      <c r="G27" s="15"/>
      <c r="H27" s="15"/>
      <c r="I27" s="15"/>
      <c r="J27" s="15"/>
      <c r="K27" s="14"/>
    </row>
    <row r="28" spans="1:11" ht="14.4" customHeight="1" x14ac:dyDescent="0.3">
      <c r="A28" s="70"/>
      <c r="B28" s="70"/>
      <c r="C28" s="70"/>
      <c r="D28" s="14"/>
      <c r="E28" s="14"/>
      <c r="F28" s="14"/>
      <c r="G28" s="14"/>
      <c r="H28" s="14"/>
      <c r="I28" s="14"/>
      <c r="J28" s="14"/>
      <c r="K28" s="14"/>
    </row>
    <row r="29" spans="1:11" ht="15.6" x14ac:dyDescent="0.3">
      <c r="A29" s="15"/>
      <c r="B29" s="10" t="s">
        <v>22</v>
      </c>
      <c r="C29" s="10" t="s">
        <v>88</v>
      </c>
      <c r="D29" s="15"/>
      <c r="E29" s="15"/>
      <c r="F29" s="15"/>
      <c r="G29" s="15"/>
      <c r="H29" s="15"/>
      <c r="I29" s="15"/>
      <c r="J29" s="15"/>
      <c r="K29" s="14"/>
    </row>
    <row r="30" spans="1:11" ht="15.6" x14ac:dyDescent="0.3">
      <c r="A30" s="14"/>
      <c r="B30" s="14" t="s">
        <v>89</v>
      </c>
      <c r="C30" s="54">
        <v>0.05</v>
      </c>
      <c r="D30" s="19"/>
      <c r="E30" s="24">
        <f>C39</f>
        <v>852.60236281472794</v>
      </c>
      <c r="F30" s="57">
        <v>0.04</v>
      </c>
      <c r="G30" s="57">
        <v>4.4999999999999998E-2</v>
      </c>
      <c r="H30" s="57">
        <v>0.05</v>
      </c>
      <c r="I30" s="57">
        <v>5.5E-2</v>
      </c>
      <c r="J30" s="57">
        <v>0.06</v>
      </c>
      <c r="K30" s="16" t="s">
        <v>99</v>
      </c>
    </row>
    <row r="31" spans="1:11" ht="15.6" x14ac:dyDescent="0.3">
      <c r="A31" s="14"/>
      <c r="B31" s="15" t="s">
        <v>90</v>
      </c>
      <c r="C31" s="24">
        <f>G11*(1+C30)/(C25-C30)</f>
        <v>16148.214742761109</v>
      </c>
      <c r="D31" s="14"/>
      <c r="E31" s="57">
        <v>0.105</v>
      </c>
      <c r="F31" s="17">
        <f t="dataTable" ref="F31:J35" dt2D="1" dtr="1" r1="C30" r2="C25"/>
        <v>931.96169488267947</v>
      </c>
      <c r="G31" s="17">
        <v>990.7494030823816</v>
      </c>
      <c r="H31" s="17">
        <v>1060.2257855002113</v>
      </c>
      <c r="I31" s="17">
        <v>1143.5974444016069</v>
      </c>
      <c r="J31" s="17">
        <v>1245.4961386144241</v>
      </c>
      <c r="K31" s="29"/>
    </row>
    <row r="32" spans="1:11" ht="15.6" x14ac:dyDescent="0.3">
      <c r="A32" s="14"/>
      <c r="B32" s="14" t="s">
        <v>91</v>
      </c>
      <c r="C32" s="17">
        <f>NPV(C25,C11:G11)</f>
        <v>2966.7425098482772</v>
      </c>
      <c r="D32" s="14"/>
      <c r="E32" s="57">
        <v>0.112</v>
      </c>
      <c r="F32" s="17">
        <v>845.01102140029377</v>
      </c>
      <c r="G32" s="17">
        <v>891.35291767656372</v>
      </c>
      <c r="H32" s="17">
        <v>945.16931335223217</v>
      </c>
      <c r="I32" s="17">
        <v>1008.4271819534563</v>
      </c>
      <c r="J32" s="17">
        <v>1083.8500252856852</v>
      </c>
      <c r="K32" s="29"/>
    </row>
    <row r="33" spans="1:11" ht="15.6" x14ac:dyDescent="0.3">
      <c r="A33" s="14"/>
      <c r="B33" s="14" t="s">
        <v>92</v>
      </c>
      <c r="C33" s="17">
        <f>C31/(1+C25)^5</f>
        <v>9200.6982082925952</v>
      </c>
      <c r="D33" s="14"/>
      <c r="E33" s="57">
        <v>0.11899999999999999</v>
      </c>
      <c r="F33" s="17">
        <v>773.54055301463893</v>
      </c>
      <c r="G33" s="17">
        <v>810.83301810101955</v>
      </c>
      <c r="H33" s="17">
        <v>853.53018827238293</v>
      </c>
      <c r="I33" s="17">
        <v>902.89879128302164</v>
      </c>
      <c r="J33" s="17">
        <v>960.63495412597229</v>
      </c>
      <c r="K33" s="16" t="s">
        <v>100</v>
      </c>
    </row>
    <row r="34" spans="1:11" s="1" customFormat="1" ht="15.6" x14ac:dyDescent="0.3">
      <c r="A34" s="15"/>
      <c r="B34" s="15" t="s">
        <v>93</v>
      </c>
      <c r="C34" s="68">
        <f>C32+C33</f>
        <v>12167.440718140871</v>
      </c>
      <c r="D34" s="15"/>
      <c r="E34" s="57">
        <v>0.126</v>
      </c>
      <c r="F34" s="17">
        <v>713.76814239982332</v>
      </c>
      <c r="G34" s="17">
        <v>744.29367265520898</v>
      </c>
      <c r="H34" s="17">
        <v>778.83572004946143</v>
      </c>
      <c r="I34" s="17">
        <v>818.24284454149574</v>
      </c>
      <c r="J34" s="17">
        <v>863.6207454717171</v>
      </c>
      <c r="K34" s="16"/>
    </row>
    <row r="35" spans="1:11" x14ac:dyDescent="0.3">
      <c r="A35" s="14"/>
      <c r="B35" s="14" t="s">
        <v>94</v>
      </c>
      <c r="C35" s="63">
        <v>1110</v>
      </c>
      <c r="D35" s="14"/>
      <c r="E35" s="57">
        <v>0.13300000000000001</v>
      </c>
      <c r="F35" s="17">
        <v>663.05042809619488</v>
      </c>
      <c r="G35" s="17">
        <v>688.39675248527089</v>
      </c>
      <c r="H35" s="17">
        <v>716.796850897127</v>
      </c>
      <c r="I35" s="17">
        <v>748.83798756691351</v>
      </c>
      <c r="J35" s="17">
        <v>785.26832104078039</v>
      </c>
      <c r="K35" s="14"/>
    </row>
    <row r="36" spans="1:11" x14ac:dyDescent="0.3">
      <c r="A36" s="14"/>
      <c r="B36" s="14" t="s">
        <v>95</v>
      </c>
      <c r="C36" s="58">
        <v>28</v>
      </c>
      <c r="D36" s="14"/>
      <c r="E36" s="14"/>
      <c r="F36" s="14"/>
      <c r="G36" s="14"/>
      <c r="H36" s="14"/>
      <c r="I36" s="14"/>
      <c r="J36" s="14"/>
      <c r="K36" s="14"/>
    </row>
    <row r="37" spans="1:11" s="1" customFormat="1" x14ac:dyDescent="0.3">
      <c r="A37" s="15"/>
      <c r="B37" s="15" t="s">
        <v>96</v>
      </c>
      <c r="C37" s="68">
        <f>C34+C35-C36</f>
        <v>13249.440718140871</v>
      </c>
      <c r="D37" s="15"/>
      <c r="E37" s="15"/>
      <c r="F37" s="15"/>
      <c r="G37" s="15"/>
      <c r="H37" s="15"/>
      <c r="I37" s="15"/>
      <c r="J37" s="15"/>
      <c r="K37" s="15"/>
    </row>
    <row r="38" spans="1:11" x14ac:dyDescent="0.3">
      <c r="A38" s="14"/>
      <c r="B38" s="14" t="s">
        <v>97</v>
      </c>
      <c r="C38" s="63">
        <v>15.54</v>
      </c>
      <c r="D38" s="14"/>
      <c r="E38" s="14"/>
      <c r="F38" s="14"/>
      <c r="G38" s="14"/>
      <c r="H38" s="14"/>
      <c r="I38" s="14"/>
      <c r="J38" s="14"/>
      <c r="K38" s="14"/>
    </row>
    <row r="39" spans="1:11" s="1" customFormat="1" x14ac:dyDescent="0.3">
      <c r="A39" s="15"/>
      <c r="B39" s="15" t="s">
        <v>98</v>
      </c>
      <c r="C39" s="67">
        <f>C37/C38</f>
        <v>852.60236281472794</v>
      </c>
      <c r="D39" s="15"/>
      <c r="E39" s="15"/>
      <c r="F39" s="15"/>
      <c r="G39" s="15"/>
      <c r="H39" s="15"/>
      <c r="I39" s="15"/>
      <c r="J39" s="15"/>
      <c r="K39" s="15"/>
    </row>
  </sheetData>
  <mergeCells count="3">
    <mergeCell ref="A13:C14"/>
    <mergeCell ref="A2:C3"/>
    <mergeCell ref="A27:C28"/>
  </mergeCells>
  <conditionalFormatting sqref="F31:J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8A97-9403-4FAF-AB33-D04CB2D28F81}">
  <dimension ref="A1:K46"/>
  <sheetViews>
    <sheetView zoomScaleNormal="100" workbookViewId="0">
      <selection activeCell="A17" sqref="A17"/>
    </sheetView>
  </sheetViews>
  <sheetFormatPr defaultRowHeight="14.4" x14ac:dyDescent="0.3"/>
  <cols>
    <col min="1" max="1" width="3.77734375" customWidth="1"/>
    <col min="2" max="2" width="42.77734375" customWidth="1"/>
    <col min="3" max="5" width="22.77734375" customWidth="1"/>
  </cols>
  <sheetData>
    <row r="1" spans="1:11" ht="18" customHeight="1" x14ac:dyDescent="0.35">
      <c r="A1" s="70" t="s">
        <v>102</v>
      </c>
      <c r="B1" s="75"/>
      <c r="C1" s="75"/>
      <c r="D1" s="75"/>
      <c r="E1" s="75"/>
      <c r="F1" s="75"/>
      <c r="G1" s="34"/>
      <c r="H1" s="34"/>
      <c r="I1" s="34"/>
      <c r="J1" s="34"/>
      <c r="K1" s="34"/>
    </row>
    <row r="2" spans="1:11" ht="14.4" customHeight="1" x14ac:dyDescent="0.35">
      <c r="A2" s="75"/>
      <c r="B2" s="75"/>
      <c r="C2" s="75"/>
      <c r="D2" s="75"/>
      <c r="E2" s="75"/>
      <c r="F2" s="75"/>
      <c r="G2" s="34"/>
      <c r="H2" s="34"/>
      <c r="I2" s="34"/>
      <c r="J2" s="34"/>
      <c r="K2" s="34"/>
    </row>
    <row r="3" spans="1:1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5.6" x14ac:dyDescent="0.3">
      <c r="A4" s="15"/>
      <c r="B4" s="10" t="s">
        <v>21</v>
      </c>
      <c r="C4" s="10" t="s">
        <v>112</v>
      </c>
      <c r="D4" s="15"/>
      <c r="E4" s="14"/>
      <c r="F4" s="14"/>
      <c r="G4" s="14"/>
      <c r="H4" s="14"/>
      <c r="I4" s="14"/>
      <c r="J4" s="14"/>
      <c r="K4" s="14"/>
    </row>
    <row r="5" spans="1:11" x14ac:dyDescent="0.3">
      <c r="A5" s="14"/>
      <c r="B5" s="14" t="s">
        <v>103</v>
      </c>
      <c r="C5" s="63">
        <v>745</v>
      </c>
      <c r="D5" s="14"/>
      <c r="E5" s="14"/>
      <c r="F5" s="14"/>
      <c r="G5" s="14"/>
      <c r="H5" s="14"/>
      <c r="I5" s="14"/>
      <c r="J5" s="14"/>
      <c r="K5" s="14"/>
    </row>
    <row r="6" spans="1:11" x14ac:dyDescent="0.3">
      <c r="A6" s="14"/>
      <c r="B6" s="14" t="s">
        <v>104</v>
      </c>
      <c r="C6" s="63">
        <v>5.03</v>
      </c>
      <c r="D6" s="14"/>
      <c r="E6" s="14"/>
      <c r="F6" s="14"/>
      <c r="G6" s="14"/>
      <c r="H6" s="14"/>
      <c r="I6" s="14"/>
      <c r="J6" s="14"/>
      <c r="K6" s="14"/>
    </row>
    <row r="7" spans="1:11" x14ac:dyDescent="0.3">
      <c r="A7" s="14"/>
      <c r="B7" s="14" t="s">
        <v>105</v>
      </c>
      <c r="C7" s="63">
        <v>3747.35</v>
      </c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4"/>
      <c r="B8" s="14" t="s">
        <v>106</v>
      </c>
      <c r="C8" s="63">
        <v>1000</v>
      </c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4"/>
      <c r="B9" s="14" t="s">
        <v>107</v>
      </c>
      <c r="C9" s="63">
        <v>2747.35</v>
      </c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4"/>
      <c r="B10" s="14"/>
      <c r="C10" s="17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4"/>
      <c r="B11" s="14" t="s">
        <v>108</v>
      </c>
      <c r="C11" s="63">
        <v>1600</v>
      </c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4"/>
      <c r="B12" s="14" t="s">
        <v>109</v>
      </c>
      <c r="C12" s="63">
        <v>10.06</v>
      </c>
      <c r="D12" s="14"/>
      <c r="E12" s="14"/>
      <c r="F12" s="14"/>
      <c r="G12" s="14"/>
      <c r="H12" s="14"/>
      <c r="I12" s="14"/>
      <c r="J12" s="14"/>
      <c r="K12" s="14"/>
    </row>
    <row r="13" spans="1:11" x14ac:dyDescent="0.3">
      <c r="A13" s="14"/>
      <c r="B13" s="14" t="s">
        <v>110</v>
      </c>
      <c r="C13" s="63">
        <v>16096</v>
      </c>
      <c r="D13" s="14"/>
      <c r="E13" s="14"/>
      <c r="F13" s="14"/>
      <c r="G13" s="14"/>
      <c r="H13" s="14"/>
      <c r="I13" s="14"/>
      <c r="J13" s="14"/>
      <c r="K13" s="14"/>
    </row>
    <row r="14" spans="1:11" x14ac:dyDescent="0.3">
      <c r="A14" s="14"/>
      <c r="B14" s="14" t="s">
        <v>111</v>
      </c>
      <c r="C14" s="63">
        <v>4.5</v>
      </c>
      <c r="D14" s="14"/>
      <c r="E14" s="14"/>
      <c r="F14" s="14"/>
      <c r="G14" s="14"/>
      <c r="H14" s="14"/>
      <c r="I14" s="14"/>
      <c r="J14" s="14"/>
      <c r="K14" s="14"/>
    </row>
    <row r="15" spans="1:1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5.6" x14ac:dyDescent="0.3">
      <c r="A17" s="15"/>
      <c r="B17" s="10" t="s">
        <v>197</v>
      </c>
      <c r="C17" s="10" t="s">
        <v>113</v>
      </c>
      <c r="D17" s="10" t="s">
        <v>198</v>
      </c>
      <c r="E17" s="10" t="s">
        <v>113</v>
      </c>
      <c r="F17" s="14"/>
      <c r="G17" s="14"/>
      <c r="H17" s="14"/>
      <c r="I17" s="14"/>
      <c r="J17" s="14"/>
      <c r="K17" s="14"/>
    </row>
    <row r="18" spans="1:11" x14ac:dyDescent="0.3">
      <c r="A18" s="14"/>
      <c r="B18" s="14" t="s">
        <v>114</v>
      </c>
      <c r="C18" s="62">
        <v>3747.35</v>
      </c>
      <c r="D18" s="14" t="s">
        <v>107</v>
      </c>
      <c r="E18" s="62">
        <v>2747.35</v>
      </c>
      <c r="F18" s="14"/>
      <c r="G18" s="14"/>
      <c r="H18" s="14"/>
      <c r="I18" s="14"/>
      <c r="J18" s="14"/>
      <c r="K18" s="14"/>
    </row>
    <row r="19" spans="1:11" x14ac:dyDescent="0.3">
      <c r="A19" s="14"/>
      <c r="B19" s="14" t="s">
        <v>115</v>
      </c>
      <c r="C19" s="58">
        <v>50</v>
      </c>
      <c r="D19" s="14" t="s">
        <v>116</v>
      </c>
      <c r="E19" s="62">
        <v>1050</v>
      </c>
      <c r="F19" s="14"/>
      <c r="G19" s="14"/>
      <c r="H19" s="14"/>
      <c r="I19" s="14"/>
      <c r="J19" s="14"/>
      <c r="K19" s="14"/>
    </row>
    <row r="20" spans="1:11" x14ac:dyDescent="0.3">
      <c r="A20" s="14"/>
      <c r="B20" s="15" t="s">
        <v>117</v>
      </c>
      <c r="C20" s="35">
        <f>SUM(C18:C19)</f>
        <v>3797.35</v>
      </c>
      <c r="D20" s="15" t="s">
        <v>118</v>
      </c>
      <c r="E20" s="35">
        <f>SUM(E18:E19)</f>
        <v>3797.35</v>
      </c>
      <c r="F20" s="14"/>
      <c r="G20" s="14"/>
      <c r="H20" s="14"/>
      <c r="I20" s="14"/>
      <c r="J20" s="14"/>
      <c r="K20" s="14"/>
    </row>
    <row r="21" spans="1:1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s="2" customFormat="1" ht="15.6" x14ac:dyDescent="0.3">
      <c r="A24" s="16"/>
      <c r="B24" s="10" t="s">
        <v>119</v>
      </c>
      <c r="C24" s="10" t="s">
        <v>120</v>
      </c>
      <c r="D24" s="10" t="s">
        <v>121</v>
      </c>
      <c r="E24" s="16"/>
      <c r="F24" s="16"/>
      <c r="G24" s="16"/>
      <c r="H24" s="16"/>
      <c r="I24" s="16"/>
      <c r="J24" s="16"/>
      <c r="K24" s="16"/>
    </row>
    <row r="25" spans="1:11" x14ac:dyDescent="0.3">
      <c r="A25" s="14"/>
      <c r="B25" s="14" t="s">
        <v>122</v>
      </c>
      <c r="C25" s="14" t="s">
        <v>123</v>
      </c>
      <c r="D25" s="20">
        <f>-C9</f>
        <v>-2747.35</v>
      </c>
      <c r="E25" s="14"/>
      <c r="F25" s="14"/>
      <c r="G25" s="14"/>
      <c r="H25" s="14"/>
      <c r="I25" s="14"/>
      <c r="J25" s="14"/>
      <c r="K25" s="14"/>
    </row>
    <row r="26" spans="1:11" x14ac:dyDescent="0.3">
      <c r="A26" s="14"/>
      <c r="B26" s="14" t="s">
        <v>124</v>
      </c>
      <c r="C26" s="14" t="s">
        <v>125</v>
      </c>
      <c r="D26" s="58">
        <v>32</v>
      </c>
      <c r="E26" s="14"/>
      <c r="F26" s="14"/>
      <c r="G26" s="14"/>
      <c r="H26" s="14"/>
      <c r="I26" s="14"/>
      <c r="J26" s="14"/>
      <c r="K26" s="14"/>
    </row>
    <row r="27" spans="1:11" x14ac:dyDescent="0.3">
      <c r="A27" s="14"/>
      <c r="B27" s="14" t="s">
        <v>126</v>
      </c>
      <c r="C27" s="14" t="s">
        <v>125</v>
      </c>
      <c r="D27" s="58">
        <v>42</v>
      </c>
      <c r="E27" s="14"/>
      <c r="F27" s="14"/>
      <c r="G27" s="14"/>
      <c r="H27" s="14"/>
      <c r="I27" s="14"/>
      <c r="J27" s="14"/>
      <c r="K27" s="14"/>
    </row>
    <row r="28" spans="1:11" x14ac:dyDescent="0.3">
      <c r="A28" s="14"/>
      <c r="B28" s="14" t="s">
        <v>127</v>
      </c>
      <c r="C28" s="14" t="s">
        <v>125</v>
      </c>
      <c r="D28" s="58">
        <v>52</v>
      </c>
      <c r="E28" s="14"/>
      <c r="F28" s="14"/>
      <c r="G28" s="14"/>
      <c r="H28" s="14"/>
      <c r="I28" s="14"/>
      <c r="J28" s="14"/>
      <c r="K28" s="14"/>
    </row>
    <row r="29" spans="1:11" x14ac:dyDescent="0.3">
      <c r="A29" s="14"/>
      <c r="B29" s="14" t="s">
        <v>128</v>
      </c>
      <c r="C29" s="14" t="s">
        <v>125</v>
      </c>
      <c r="D29" s="58">
        <v>70</v>
      </c>
      <c r="E29" s="14"/>
      <c r="F29" s="14"/>
      <c r="G29" s="14"/>
      <c r="H29" s="14"/>
      <c r="I29" s="14"/>
      <c r="J29" s="14"/>
      <c r="K29" s="14"/>
    </row>
    <row r="30" spans="1:11" x14ac:dyDescent="0.3">
      <c r="A30" s="14"/>
      <c r="B30" s="14" t="s">
        <v>129</v>
      </c>
      <c r="C30" s="14" t="s">
        <v>130</v>
      </c>
      <c r="D30" s="31">
        <f>C13</f>
        <v>16096</v>
      </c>
      <c r="E30" s="14"/>
      <c r="F30" s="14"/>
      <c r="G30" s="14"/>
      <c r="H30" s="14"/>
      <c r="I30" s="14"/>
      <c r="J30" s="14"/>
      <c r="K30" s="14"/>
    </row>
    <row r="31" spans="1:1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s="2" customFormat="1" ht="15.6" x14ac:dyDescent="0.3">
      <c r="A34" s="16"/>
      <c r="B34" s="10" t="s">
        <v>21</v>
      </c>
      <c r="C34" s="10" t="s">
        <v>135</v>
      </c>
      <c r="D34" s="16"/>
      <c r="E34" s="16"/>
      <c r="F34" s="16"/>
      <c r="G34" s="16"/>
      <c r="H34" s="16"/>
      <c r="I34" s="16"/>
      <c r="J34" s="16"/>
      <c r="K34" s="16"/>
    </row>
    <row r="35" spans="1:11" x14ac:dyDescent="0.3">
      <c r="A35" s="14"/>
      <c r="B35" s="14" t="s">
        <v>131</v>
      </c>
      <c r="C35" s="69">
        <f>SUM(D26:D30)</f>
        <v>16292</v>
      </c>
      <c r="D35" s="14"/>
      <c r="E35" s="14"/>
      <c r="F35" s="14"/>
      <c r="G35" s="14"/>
      <c r="H35" s="14"/>
      <c r="I35" s="14"/>
      <c r="J35" s="14"/>
      <c r="K35" s="14"/>
    </row>
    <row r="36" spans="1:11" x14ac:dyDescent="0.3">
      <c r="A36" s="14"/>
      <c r="B36" s="14" t="s">
        <v>132</v>
      </c>
      <c r="C36" s="69">
        <f>C35+D25</f>
        <v>13544.65</v>
      </c>
      <c r="D36" s="14"/>
      <c r="E36" s="14"/>
      <c r="F36" s="14"/>
      <c r="G36" s="14"/>
      <c r="H36" s="14"/>
      <c r="I36" s="14"/>
      <c r="J36" s="14"/>
      <c r="K36" s="14"/>
    </row>
    <row r="37" spans="1:11" x14ac:dyDescent="0.3">
      <c r="A37" s="14"/>
      <c r="B37" s="14" t="s">
        <v>133</v>
      </c>
      <c r="C37" s="18">
        <f>C35/(-D25)</f>
        <v>5.9300780752361373</v>
      </c>
      <c r="D37" s="14"/>
      <c r="E37" s="14"/>
      <c r="F37" s="14"/>
      <c r="G37" s="14"/>
      <c r="H37" s="14"/>
      <c r="I37" s="14"/>
      <c r="J37" s="14"/>
      <c r="K37" s="14"/>
    </row>
    <row r="38" spans="1:11" x14ac:dyDescent="0.3">
      <c r="A38" s="14"/>
      <c r="B38" s="14" t="s">
        <v>134</v>
      </c>
      <c r="C38" s="21">
        <f>(C37^(1/C14))-1</f>
        <v>0.48522141479897574</v>
      </c>
      <c r="D38" s="19"/>
      <c r="E38" s="14"/>
      <c r="F38" s="14"/>
      <c r="G38" s="14"/>
      <c r="H38" s="14"/>
      <c r="I38" s="14"/>
      <c r="J38" s="14"/>
      <c r="K38" s="14"/>
    </row>
    <row r="39" spans="1:1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15.6" x14ac:dyDescent="0.3">
      <c r="A42" s="15"/>
      <c r="B42" s="10" t="s">
        <v>136</v>
      </c>
      <c r="C42" s="10" t="s">
        <v>137</v>
      </c>
      <c r="D42" s="10" t="s">
        <v>138</v>
      </c>
      <c r="E42" s="14"/>
      <c r="F42" s="14"/>
      <c r="G42" s="14"/>
      <c r="H42" s="14"/>
      <c r="I42" s="14"/>
      <c r="J42" s="14"/>
      <c r="K42" s="14"/>
    </row>
    <row r="43" spans="1:11" x14ac:dyDescent="0.3">
      <c r="A43" s="14"/>
      <c r="B43" s="14" t="s">
        <v>139</v>
      </c>
      <c r="C43" s="62">
        <v>4753.3500000000004</v>
      </c>
      <c r="D43" s="19">
        <f>C43/$C$46</f>
        <v>0.35093930075712554</v>
      </c>
      <c r="E43" s="14"/>
      <c r="F43" s="14"/>
      <c r="G43" s="14"/>
      <c r="H43" s="14"/>
      <c r="I43" s="14"/>
      <c r="J43" s="14"/>
      <c r="K43" s="14"/>
    </row>
    <row r="44" spans="1:11" x14ac:dyDescent="0.3">
      <c r="A44" s="14"/>
      <c r="B44" s="14" t="s">
        <v>140</v>
      </c>
      <c r="C44" s="62">
        <v>7791.3</v>
      </c>
      <c r="D44" s="19">
        <f t="shared" ref="D44:D45" si="0">C44/$C$46</f>
        <v>0.57523081068909132</v>
      </c>
      <c r="E44" s="14"/>
      <c r="F44" s="14"/>
      <c r="G44" s="14"/>
      <c r="H44" s="14"/>
      <c r="I44" s="14"/>
      <c r="J44" s="14"/>
      <c r="K44" s="14"/>
    </row>
    <row r="45" spans="1:11" x14ac:dyDescent="0.3">
      <c r="A45" s="14"/>
      <c r="B45" s="14" t="s">
        <v>141</v>
      </c>
      <c r="C45" s="63">
        <v>1000</v>
      </c>
      <c r="D45" s="19">
        <f t="shared" si="0"/>
        <v>7.3829888553783224E-2</v>
      </c>
      <c r="E45" s="14"/>
      <c r="F45" s="14"/>
      <c r="G45" s="14"/>
      <c r="H45" s="14"/>
      <c r="I45" s="14"/>
      <c r="J45" s="14"/>
      <c r="K45" s="14"/>
    </row>
    <row r="46" spans="1:11" x14ac:dyDescent="0.3">
      <c r="A46" s="14"/>
      <c r="B46" s="15" t="s">
        <v>142</v>
      </c>
      <c r="C46" s="55">
        <v>13544.65</v>
      </c>
      <c r="D46" s="30">
        <f>C46/$C$46</f>
        <v>1</v>
      </c>
      <c r="E46" s="14"/>
      <c r="F46" s="14"/>
      <c r="G46" s="14"/>
      <c r="H46" s="14"/>
      <c r="I46" s="14"/>
      <c r="J46" s="14"/>
      <c r="K46" s="14"/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01_Executive_Summary</vt:lpstr>
      <vt:lpstr>02_3_Statement_Model</vt:lpstr>
      <vt:lpstr>03_Schedules</vt:lpstr>
      <vt:lpstr>04_DCF_Valuation</vt:lpstr>
      <vt:lpstr>05_LBO_Returns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Singh</dc:creator>
  <cp:lastModifiedBy>Omkar Singh</cp:lastModifiedBy>
  <dcterms:created xsi:type="dcterms:W3CDTF">2026-09-12T16:09:20Z</dcterms:created>
  <dcterms:modified xsi:type="dcterms:W3CDTF">2026-09-14T16:49:48Z</dcterms:modified>
</cp:coreProperties>
</file>